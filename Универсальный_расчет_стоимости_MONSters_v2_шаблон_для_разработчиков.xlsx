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4621a95a9d79ccd8/Desktop/calculator/"/>
    </mc:Choice>
  </mc:AlternateContent>
  <xr:revisionPtr revIDLastSave="22" documentId="8_{96C0250A-1897-4AD0-83CD-5E7C48A24E1C}" xr6:coauthVersionLast="47" xr6:coauthVersionMax="47" xr10:uidLastSave="{C44035E4-8A42-4434-A58B-FA38B852279B}"/>
  <bookViews>
    <workbookView xWindow="1740" yWindow="2088" windowWidth="17280" windowHeight="9960" xr2:uid="{00000000-000D-0000-FFFF-FFFF00000000}"/>
  </bookViews>
  <sheets>
    <sheet name="Итого по проекту" sheetId="1" r:id="rId1"/>
    <sheet name="Ввод" sheetId="2" r:id="rId2"/>
    <sheet name="Расчёт" sheetId="3" r:id="rId3"/>
    <sheet name="Внешние затраты" sheetId="4" r:id="rId4"/>
    <sheet name="Справочник типов" sheetId="5" r:id="rId5"/>
    <sheet name="Параметры типов" sheetId="6" r:id="rId6"/>
    <sheet name="Справочник ролей" sheetId="7" r:id="rId7"/>
    <sheet name="Проверки" sheetId="8" r:id="rId8"/>
    <sheet name="Источники" sheetId="9" r:id="rId9"/>
  </sheets>
  <definedNames>
    <definedName name="Print_Area" localSheetId="4">'Справочник типов'!$A$1:$J$27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B6" i="1"/>
  <c r="E5" i="1"/>
  <c r="B5" i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6" i="4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6" i="3"/>
  <c r="E12" i="2"/>
  <c r="E11" i="2"/>
  <c r="E10" i="2"/>
  <c r="E10" i="1" s="1"/>
  <c r="E9" i="2"/>
  <c r="E8" i="1" s="1"/>
  <c r="E8" i="2"/>
  <c r="E9" i="1" s="1"/>
  <c r="E7" i="2"/>
  <c r="E7" i="1" s="1"/>
  <c r="E6" i="2"/>
  <c r="B9" i="1" s="1"/>
  <c r="E5" i="2"/>
  <c r="B7" i="1" s="1"/>
  <c r="E4" i="2"/>
  <c r="B14" i="8"/>
  <c r="E14" i="8" s="1"/>
  <c r="B13" i="8"/>
  <c r="E13" i="8" s="1"/>
  <c r="B12" i="8"/>
  <c r="E12" i="8" s="1"/>
  <c r="B6" i="8"/>
  <c r="E6" i="8" s="1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H6" i="4"/>
  <c r="I6" i="4" s="1"/>
  <c r="T105" i="3"/>
  <c r="S105" i="3"/>
  <c r="R105" i="3"/>
  <c r="Q105" i="3"/>
  <c r="P105" i="3"/>
  <c r="O105" i="3"/>
  <c r="M105" i="3"/>
  <c r="L105" i="3"/>
  <c r="K105" i="3"/>
  <c r="T104" i="3"/>
  <c r="S104" i="3"/>
  <c r="R104" i="3"/>
  <c r="Q104" i="3"/>
  <c r="P104" i="3"/>
  <c r="O104" i="3"/>
  <c r="M104" i="3"/>
  <c r="L104" i="3"/>
  <c r="K104" i="3"/>
  <c r="T103" i="3"/>
  <c r="S103" i="3"/>
  <c r="R103" i="3"/>
  <c r="Q103" i="3"/>
  <c r="P103" i="3"/>
  <c r="O103" i="3"/>
  <c r="M103" i="3"/>
  <c r="L103" i="3"/>
  <c r="K103" i="3"/>
  <c r="T102" i="3"/>
  <c r="S102" i="3"/>
  <c r="R102" i="3"/>
  <c r="Q102" i="3"/>
  <c r="P102" i="3"/>
  <c r="O102" i="3"/>
  <c r="M102" i="3"/>
  <c r="L102" i="3"/>
  <c r="K102" i="3"/>
  <c r="T101" i="3"/>
  <c r="S101" i="3"/>
  <c r="R101" i="3"/>
  <c r="Q101" i="3"/>
  <c r="P101" i="3"/>
  <c r="O101" i="3"/>
  <c r="M101" i="3"/>
  <c r="L101" i="3"/>
  <c r="K101" i="3"/>
  <c r="T100" i="3"/>
  <c r="S100" i="3"/>
  <c r="R100" i="3"/>
  <c r="Q100" i="3"/>
  <c r="P100" i="3"/>
  <c r="O100" i="3"/>
  <c r="M100" i="3"/>
  <c r="L100" i="3"/>
  <c r="K100" i="3"/>
  <c r="T99" i="3"/>
  <c r="S99" i="3"/>
  <c r="R99" i="3"/>
  <c r="Q99" i="3"/>
  <c r="P99" i="3"/>
  <c r="O99" i="3"/>
  <c r="M99" i="3"/>
  <c r="L99" i="3"/>
  <c r="K99" i="3"/>
  <c r="T98" i="3"/>
  <c r="S98" i="3"/>
  <c r="R98" i="3"/>
  <c r="Q98" i="3"/>
  <c r="P98" i="3"/>
  <c r="O98" i="3"/>
  <c r="M98" i="3"/>
  <c r="L98" i="3"/>
  <c r="K98" i="3"/>
  <c r="T97" i="3"/>
  <c r="S97" i="3"/>
  <c r="R97" i="3"/>
  <c r="Q97" i="3"/>
  <c r="P97" i="3"/>
  <c r="O97" i="3"/>
  <c r="M97" i="3"/>
  <c r="L97" i="3"/>
  <c r="K97" i="3"/>
  <c r="T96" i="3"/>
  <c r="S96" i="3"/>
  <c r="R96" i="3"/>
  <c r="Q96" i="3"/>
  <c r="P96" i="3"/>
  <c r="O96" i="3"/>
  <c r="M96" i="3"/>
  <c r="L96" i="3"/>
  <c r="K96" i="3"/>
  <c r="T95" i="3"/>
  <c r="S95" i="3"/>
  <c r="R95" i="3"/>
  <c r="Q95" i="3"/>
  <c r="P95" i="3"/>
  <c r="O95" i="3"/>
  <c r="M95" i="3"/>
  <c r="L95" i="3"/>
  <c r="K95" i="3"/>
  <c r="T94" i="3"/>
  <c r="S94" i="3"/>
  <c r="R94" i="3"/>
  <c r="Q94" i="3"/>
  <c r="P94" i="3"/>
  <c r="O94" i="3"/>
  <c r="M94" i="3"/>
  <c r="L94" i="3"/>
  <c r="K94" i="3"/>
  <c r="T93" i="3"/>
  <c r="S93" i="3"/>
  <c r="R93" i="3"/>
  <c r="Q93" i="3"/>
  <c r="P93" i="3"/>
  <c r="O93" i="3"/>
  <c r="M93" i="3"/>
  <c r="L93" i="3"/>
  <c r="K93" i="3"/>
  <c r="T92" i="3"/>
  <c r="S92" i="3"/>
  <c r="R92" i="3"/>
  <c r="Q92" i="3"/>
  <c r="P92" i="3"/>
  <c r="O92" i="3"/>
  <c r="M92" i="3"/>
  <c r="L92" i="3"/>
  <c r="K92" i="3"/>
  <c r="T91" i="3"/>
  <c r="S91" i="3"/>
  <c r="R91" i="3"/>
  <c r="Q91" i="3"/>
  <c r="P91" i="3"/>
  <c r="O91" i="3"/>
  <c r="M91" i="3"/>
  <c r="L91" i="3"/>
  <c r="K91" i="3"/>
  <c r="T90" i="3"/>
  <c r="S90" i="3"/>
  <c r="R90" i="3"/>
  <c r="Q90" i="3"/>
  <c r="P90" i="3"/>
  <c r="O90" i="3"/>
  <c r="M90" i="3"/>
  <c r="L90" i="3"/>
  <c r="K90" i="3"/>
  <c r="T89" i="3"/>
  <c r="S89" i="3"/>
  <c r="R89" i="3"/>
  <c r="Q89" i="3"/>
  <c r="P89" i="3"/>
  <c r="O89" i="3"/>
  <c r="M89" i="3"/>
  <c r="L89" i="3"/>
  <c r="K89" i="3"/>
  <c r="T88" i="3"/>
  <c r="S88" i="3"/>
  <c r="R88" i="3"/>
  <c r="Q88" i="3"/>
  <c r="P88" i="3"/>
  <c r="O88" i="3"/>
  <c r="M88" i="3"/>
  <c r="L88" i="3"/>
  <c r="K88" i="3"/>
  <c r="T87" i="3"/>
  <c r="S87" i="3"/>
  <c r="R87" i="3"/>
  <c r="Q87" i="3"/>
  <c r="P87" i="3"/>
  <c r="O87" i="3"/>
  <c r="M87" i="3"/>
  <c r="L87" i="3"/>
  <c r="K87" i="3"/>
  <c r="T86" i="3"/>
  <c r="S86" i="3"/>
  <c r="R86" i="3"/>
  <c r="Q86" i="3"/>
  <c r="P86" i="3"/>
  <c r="O86" i="3"/>
  <c r="M86" i="3"/>
  <c r="L86" i="3"/>
  <c r="K86" i="3"/>
  <c r="T85" i="3"/>
  <c r="S85" i="3"/>
  <c r="R85" i="3"/>
  <c r="Q85" i="3"/>
  <c r="P85" i="3"/>
  <c r="O85" i="3"/>
  <c r="M85" i="3"/>
  <c r="L85" i="3"/>
  <c r="K85" i="3"/>
  <c r="T84" i="3"/>
  <c r="S84" i="3"/>
  <c r="R84" i="3"/>
  <c r="Q84" i="3"/>
  <c r="P84" i="3"/>
  <c r="O84" i="3"/>
  <c r="M84" i="3"/>
  <c r="L84" i="3"/>
  <c r="K84" i="3"/>
  <c r="T83" i="3"/>
  <c r="S83" i="3"/>
  <c r="R83" i="3"/>
  <c r="Q83" i="3"/>
  <c r="P83" i="3"/>
  <c r="O83" i="3"/>
  <c r="M83" i="3"/>
  <c r="L83" i="3"/>
  <c r="K83" i="3"/>
  <c r="T82" i="3"/>
  <c r="S82" i="3"/>
  <c r="R82" i="3"/>
  <c r="Q82" i="3"/>
  <c r="P82" i="3"/>
  <c r="O82" i="3"/>
  <c r="M82" i="3"/>
  <c r="L82" i="3"/>
  <c r="K82" i="3"/>
  <c r="T81" i="3"/>
  <c r="S81" i="3"/>
  <c r="R81" i="3"/>
  <c r="Q81" i="3"/>
  <c r="P81" i="3"/>
  <c r="O81" i="3"/>
  <c r="M81" i="3"/>
  <c r="L81" i="3"/>
  <c r="K81" i="3"/>
  <c r="T80" i="3"/>
  <c r="S80" i="3"/>
  <c r="R80" i="3"/>
  <c r="Q80" i="3"/>
  <c r="P80" i="3"/>
  <c r="O80" i="3"/>
  <c r="M80" i="3"/>
  <c r="L80" i="3"/>
  <c r="K80" i="3"/>
  <c r="T79" i="3"/>
  <c r="S79" i="3"/>
  <c r="R79" i="3"/>
  <c r="Q79" i="3"/>
  <c r="P79" i="3"/>
  <c r="O79" i="3"/>
  <c r="M79" i="3"/>
  <c r="L79" i="3"/>
  <c r="K79" i="3"/>
  <c r="T78" i="3"/>
  <c r="S78" i="3"/>
  <c r="R78" i="3"/>
  <c r="Q78" i="3"/>
  <c r="P78" i="3"/>
  <c r="O78" i="3"/>
  <c r="M78" i="3"/>
  <c r="L78" i="3"/>
  <c r="K78" i="3"/>
  <c r="T77" i="3"/>
  <c r="S77" i="3"/>
  <c r="R77" i="3"/>
  <c r="Q77" i="3"/>
  <c r="P77" i="3"/>
  <c r="O77" i="3"/>
  <c r="M77" i="3"/>
  <c r="L77" i="3"/>
  <c r="K77" i="3"/>
  <c r="T76" i="3"/>
  <c r="S76" i="3"/>
  <c r="R76" i="3"/>
  <c r="Q76" i="3"/>
  <c r="P76" i="3"/>
  <c r="O76" i="3"/>
  <c r="M76" i="3"/>
  <c r="L76" i="3"/>
  <c r="K76" i="3"/>
  <c r="T75" i="3"/>
  <c r="S75" i="3"/>
  <c r="R75" i="3"/>
  <c r="Q75" i="3"/>
  <c r="P75" i="3"/>
  <c r="O75" i="3"/>
  <c r="M75" i="3"/>
  <c r="L75" i="3"/>
  <c r="K75" i="3"/>
  <c r="T74" i="3"/>
  <c r="S74" i="3"/>
  <c r="R74" i="3"/>
  <c r="Q74" i="3"/>
  <c r="P74" i="3"/>
  <c r="O74" i="3"/>
  <c r="M74" i="3"/>
  <c r="L74" i="3"/>
  <c r="K74" i="3"/>
  <c r="T73" i="3"/>
  <c r="S73" i="3"/>
  <c r="R73" i="3"/>
  <c r="Q73" i="3"/>
  <c r="P73" i="3"/>
  <c r="O73" i="3"/>
  <c r="M73" i="3"/>
  <c r="L73" i="3"/>
  <c r="K73" i="3"/>
  <c r="T72" i="3"/>
  <c r="S72" i="3"/>
  <c r="R72" i="3"/>
  <c r="Q72" i="3"/>
  <c r="P72" i="3"/>
  <c r="O72" i="3"/>
  <c r="M72" i="3"/>
  <c r="L72" i="3"/>
  <c r="K72" i="3"/>
  <c r="T71" i="3"/>
  <c r="S71" i="3"/>
  <c r="R71" i="3"/>
  <c r="Q71" i="3"/>
  <c r="P71" i="3"/>
  <c r="O71" i="3"/>
  <c r="M71" i="3"/>
  <c r="L71" i="3"/>
  <c r="K71" i="3"/>
  <c r="T70" i="3"/>
  <c r="S70" i="3"/>
  <c r="R70" i="3"/>
  <c r="Q70" i="3"/>
  <c r="P70" i="3"/>
  <c r="O70" i="3"/>
  <c r="M70" i="3"/>
  <c r="L70" i="3"/>
  <c r="K70" i="3"/>
  <c r="T69" i="3"/>
  <c r="S69" i="3"/>
  <c r="R69" i="3"/>
  <c r="Q69" i="3"/>
  <c r="P69" i="3"/>
  <c r="O69" i="3"/>
  <c r="M69" i="3"/>
  <c r="L69" i="3"/>
  <c r="K69" i="3"/>
  <c r="T68" i="3"/>
  <c r="S68" i="3"/>
  <c r="R68" i="3"/>
  <c r="Q68" i="3"/>
  <c r="P68" i="3"/>
  <c r="O68" i="3"/>
  <c r="M68" i="3"/>
  <c r="L68" i="3"/>
  <c r="K68" i="3"/>
  <c r="T67" i="3"/>
  <c r="S67" i="3"/>
  <c r="R67" i="3"/>
  <c r="Q67" i="3"/>
  <c r="P67" i="3"/>
  <c r="O67" i="3"/>
  <c r="M67" i="3"/>
  <c r="L67" i="3"/>
  <c r="K67" i="3"/>
  <c r="T66" i="3"/>
  <c r="S66" i="3"/>
  <c r="R66" i="3"/>
  <c r="Q66" i="3"/>
  <c r="P66" i="3"/>
  <c r="O66" i="3"/>
  <c r="M66" i="3"/>
  <c r="L66" i="3"/>
  <c r="K66" i="3"/>
  <c r="T65" i="3"/>
  <c r="S65" i="3"/>
  <c r="R65" i="3"/>
  <c r="Q65" i="3"/>
  <c r="P65" i="3"/>
  <c r="O65" i="3"/>
  <c r="M65" i="3"/>
  <c r="L65" i="3"/>
  <c r="K65" i="3"/>
  <c r="T64" i="3"/>
  <c r="S64" i="3"/>
  <c r="R64" i="3"/>
  <c r="Q64" i="3"/>
  <c r="P64" i="3"/>
  <c r="O64" i="3"/>
  <c r="M64" i="3"/>
  <c r="L64" i="3"/>
  <c r="K64" i="3"/>
  <c r="T63" i="3"/>
  <c r="S63" i="3"/>
  <c r="R63" i="3"/>
  <c r="Q63" i="3"/>
  <c r="P63" i="3"/>
  <c r="O63" i="3"/>
  <c r="M63" i="3"/>
  <c r="L63" i="3"/>
  <c r="K63" i="3"/>
  <c r="T62" i="3"/>
  <c r="S62" i="3"/>
  <c r="R62" i="3"/>
  <c r="Q62" i="3"/>
  <c r="P62" i="3"/>
  <c r="O62" i="3"/>
  <c r="M62" i="3"/>
  <c r="L62" i="3"/>
  <c r="K62" i="3"/>
  <c r="T61" i="3"/>
  <c r="S61" i="3"/>
  <c r="R61" i="3"/>
  <c r="Q61" i="3"/>
  <c r="P61" i="3"/>
  <c r="O61" i="3"/>
  <c r="M61" i="3"/>
  <c r="L61" i="3"/>
  <c r="K61" i="3"/>
  <c r="T60" i="3"/>
  <c r="S60" i="3"/>
  <c r="R60" i="3"/>
  <c r="Q60" i="3"/>
  <c r="P60" i="3"/>
  <c r="O60" i="3"/>
  <c r="M60" i="3"/>
  <c r="L60" i="3"/>
  <c r="K60" i="3"/>
  <c r="T59" i="3"/>
  <c r="S59" i="3"/>
  <c r="R59" i="3"/>
  <c r="Q59" i="3"/>
  <c r="P59" i="3"/>
  <c r="O59" i="3"/>
  <c r="M59" i="3"/>
  <c r="L59" i="3"/>
  <c r="K59" i="3"/>
  <c r="T58" i="3"/>
  <c r="S58" i="3"/>
  <c r="R58" i="3"/>
  <c r="Q58" i="3"/>
  <c r="P58" i="3"/>
  <c r="O58" i="3"/>
  <c r="M58" i="3"/>
  <c r="L58" i="3"/>
  <c r="K58" i="3"/>
  <c r="T57" i="3"/>
  <c r="S57" i="3"/>
  <c r="R57" i="3"/>
  <c r="Q57" i="3"/>
  <c r="P57" i="3"/>
  <c r="O57" i="3"/>
  <c r="M57" i="3"/>
  <c r="L57" i="3"/>
  <c r="K57" i="3"/>
  <c r="T56" i="3"/>
  <c r="S56" i="3"/>
  <c r="R56" i="3"/>
  <c r="Q56" i="3"/>
  <c r="P56" i="3"/>
  <c r="O56" i="3"/>
  <c r="M56" i="3"/>
  <c r="L56" i="3"/>
  <c r="K56" i="3"/>
  <c r="T55" i="3"/>
  <c r="S55" i="3"/>
  <c r="R55" i="3"/>
  <c r="Q55" i="3"/>
  <c r="P55" i="3"/>
  <c r="O55" i="3"/>
  <c r="M55" i="3"/>
  <c r="L55" i="3"/>
  <c r="K55" i="3"/>
  <c r="T54" i="3"/>
  <c r="S54" i="3"/>
  <c r="R54" i="3"/>
  <c r="Q54" i="3"/>
  <c r="P54" i="3"/>
  <c r="O54" i="3"/>
  <c r="M54" i="3"/>
  <c r="L54" i="3"/>
  <c r="K54" i="3"/>
  <c r="T53" i="3"/>
  <c r="S53" i="3"/>
  <c r="R53" i="3"/>
  <c r="Q53" i="3"/>
  <c r="P53" i="3"/>
  <c r="O53" i="3"/>
  <c r="M53" i="3"/>
  <c r="L53" i="3"/>
  <c r="K53" i="3"/>
  <c r="T52" i="3"/>
  <c r="S52" i="3"/>
  <c r="R52" i="3"/>
  <c r="Q52" i="3"/>
  <c r="P52" i="3"/>
  <c r="O52" i="3"/>
  <c r="M52" i="3"/>
  <c r="L52" i="3"/>
  <c r="K52" i="3"/>
  <c r="T51" i="3"/>
  <c r="S51" i="3"/>
  <c r="R51" i="3"/>
  <c r="Q51" i="3"/>
  <c r="P51" i="3"/>
  <c r="O51" i="3"/>
  <c r="M51" i="3"/>
  <c r="L51" i="3"/>
  <c r="K51" i="3"/>
  <c r="T50" i="3"/>
  <c r="S50" i="3"/>
  <c r="R50" i="3"/>
  <c r="Q50" i="3"/>
  <c r="P50" i="3"/>
  <c r="O50" i="3"/>
  <c r="M50" i="3"/>
  <c r="L50" i="3"/>
  <c r="K50" i="3"/>
  <c r="T49" i="3"/>
  <c r="S49" i="3"/>
  <c r="R49" i="3"/>
  <c r="Q49" i="3"/>
  <c r="P49" i="3"/>
  <c r="O49" i="3"/>
  <c r="M49" i="3"/>
  <c r="L49" i="3"/>
  <c r="K49" i="3"/>
  <c r="T48" i="3"/>
  <c r="S48" i="3"/>
  <c r="R48" i="3"/>
  <c r="Q48" i="3"/>
  <c r="P48" i="3"/>
  <c r="O48" i="3"/>
  <c r="M48" i="3"/>
  <c r="L48" i="3"/>
  <c r="K48" i="3"/>
  <c r="T47" i="3"/>
  <c r="S47" i="3"/>
  <c r="R47" i="3"/>
  <c r="Q47" i="3"/>
  <c r="P47" i="3"/>
  <c r="O47" i="3"/>
  <c r="M47" i="3"/>
  <c r="L47" i="3"/>
  <c r="K47" i="3"/>
  <c r="T46" i="3"/>
  <c r="S46" i="3"/>
  <c r="R46" i="3"/>
  <c r="Q46" i="3"/>
  <c r="P46" i="3"/>
  <c r="O46" i="3"/>
  <c r="M46" i="3"/>
  <c r="L46" i="3"/>
  <c r="K46" i="3"/>
  <c r="T45" i="3"/>
  <c r="S45" i="3"/>
  <c r="R45" i="3"/>
  <c r="Q45" i="3"/>
  <c r="P45" i="3"/>
  <c r="O45" i="3"/>
  <c r="M45" i="3"/>
  <c r="L45" i="3"/>
  <c r="K45" i="3"/>
  <c r="T44" i="3"/>
  <c r="S44" i="3"/>
  <c r="R44" i="3"/>
  <c r="Q44" i="3"/>
  <c r="P44" i="3"/>
  <c r="O44" i="3"/>
  <c r="M44" i="3"/>
  <c r="L44" i="3"/>
  <c r="K44" i="3"/>
  <c r="T43" i="3"/>
  <c r="S43" i="3"/>
  <c r="R43" i="3"/>
  <c r="Q43" i="3"/>
  <c r="P43" i="3"/>
  <c r="O43" i="3"/>
  <c r="M43" i="3"/>
  <c r="L43" i="3"/>
  <c r="K43" i="3"/>
  <c r="T42" i="3"/>
  <c r="S42" i="3"/>
  <c r="R42" i="3"/>
  <c r="Q42" i="3"/>
  <c r="P42" i="3"/>
  <c r="O42" i="3"/>
  <c r="M42" i="3"/>
  <c r="L42" i="3"/>
  <c r="K42" i="3"/>
  <c r="T41" i="3"/>
  <c r="S41" i="3"/>
  <c r="R41" i="3"/>
  <c r="Q41" i="3"/>
  <c r="P41" i="3"/>
  <c r="O41" i="3"/>
  <c r="M41" i="3"/>
  <c r="L41" i="3"/>
  <c r="K41" i="3"/>
  <c r="T40" i="3"/>
  <c r="S40" i="3"/>
  <c r="R40" i="3"/>
  <c r="Q40" i="3"/>
  <c r="P40" i="3"/>
  <c r="O40" i="3"/>
  <c r="M40" i="3"/>
  <c r="L40" i="3"/>
  <c r="K40" i="3"/>
  <c r="T39" i="3"/>
  <c r="S39" i="3"/>
  <c r="R39" i="3"/>
  <c r="Q39" i="3"/>
  <c r="P39" i="3"/>
  <c r="O39" i="3"/>
  <c r="M39" i="3"/>
  <c r="L39" i="3"/>
  <c r="K39" i="3"/>
  <c r="T38" i="3"/>
  <c r="S38" i="3"/>
  <c r="R38" i="3"/>
  <c r="Q38" i="3"/>
  <c r="P38" i="3"/>
  <c r="O38" i="3"/>
  <c r="M38" i="3"/>
  <c r="L38" i="3"/>
  <c r="K38" i="3"/>
  <c r="T37" i="3"/>
  <c r="S37" i="3"/>
  <c r="R37" i="3"/>
  <c r="Q37" i="3"/>
  <c r="P37" i="3"/>
  <c r="O37" i="3"/>
  <c r="M37" i="3"/>
  <c r="L37" i="3"/>
  <c r="K37" i="3"/>
  <c r="T36" i="3"/>
  <c r="S36" i="3"/>
  <c r="R36" i="3"/>
  <c r="Q36" i="3"/>
  <c r="P36" i="3"/>
  <c r="O36" i="3"/>
  <c r="M36" i="3"/>
  <c r="L36" i="3"/>
  <c r="K36" i="3"/>
  <c r="T35" i="3"/>
  <c r="S35" i="3"/>
  <c r="R35" i="3"/>
  <c r="Q35" i="3"/>
  <c r="P35" i="3"/>
  <c r="O35" i="3"/>
  <c r="M35" i="3"/>
  <c r="L35" i="3"/>
  <c r="K35" i="3"/>
  <c r="T34" i="3"/>
  <c r="S34" i="3"/>
  <c r="R34" i="3"/>
  <c r="Q34" i="3"/>
  <c r="P34" i="3"/>
  <c r="O34" i="3"/>
  <c r="M34" i="3"/>
  <c r="L34" i="3"/>
  <c r="K34" i="3"/>
  <c r="T33" i="3"/>
  <c r="S33" i="3"/>
  <c r="R33" i="3"/>
  <c r="Q33" i="3"/>
  <c r="P33" i="3"/>
  <c r="O33" i="3"/>
  <c r="M33" i="3"/>
  <c r="L33" i="3"/>
  <c r="K33" i="3"/>
  <c r="T32" i="3"/>
  <c r="S32" i="3"/>
  <c r="R32" i="3"/>
  <c r="Q32" i="3"/>
  <c r="P32" i="3"/>
  <c r="O32" i="3"/>
  <c r="M32" i="3"/>
  <c r="L32" i="3"/>
  <c r="K32" i="3"/>
  <c r="T31" i="3"/>
  <c r="S31" i="3"/>
  <c r="R31" i="3"/>
  <c r="Q31" i="3"/>
  <c r="P31" i="3"/>
  <c r="O31" i="3"/>
  <c r="M31" i="3"/>
  <c r="L31" i="3"/>
  <c r="K31" i="3"/>
  <c r="T30" i="3"/>
  <c r="S30" i="3"/>
  <c r="R30" i="3"/>
  <c r="Q30" i="3"/>
  <c r="P30" i="3"/>
  <c r="O30" i="3"/>
  <c r="M30" i="3"/>
  <c r="L30" i="3"/>
  <c r="K30" i="3"/>
  <c r="T29" i="3"/>
  <c r="S29" i="3"/>
  <c r="R29" i="3"/>
  <c r="Q29" i="3"/>
  <c r="P29" i="3"/>
  <c r="O29" i="3"/>
  <c r="M29" i="3"/>
  <c r="L29" i="3"/>
  <c r="K29" i="3"/>
  <c r="T28" i="3"/>
  <c r="S28" i="3"/>
  <c r="R28" i="3"/>
  <c r="Q28" i="3"/>
  <c r="P28" i="3"/>
  <c r="O28" i="3"/>
  <c r="M28" i="3"/>
  <c r="L28" i="3"/>
  <c r="K28" i="3"/>
  <c r="T27" i="3"/>
  <c r="S27" i="3"/>
  <c r="R27" i="3"/>
  <c r="Q27" i="3"/>
  <c r="P27" i="3"/>
  <c r="O27" i="3"/>
  <c r="M27" i="3"/>
  <c r="L27" i="3"/>
  <c r="K27" i="3"/>
  <c r="T26" i="3"/>
  <c r="S26" i="3"/>
  <c r="R26" i="3"/>
  <c r="Q26" i="3"/>
  <c r="P26" i="3"/>
  <c r="O26" i="3"/>
  <c r="M26" i="3"/>
  <c r="L26" i="3"/>
  <c r="K26" i="3"/>
  <c r="T25" i="3"/>
  <c r="S25" i="3"/>
  <c r="R25" i="3"/>
  <c r="Q25" i="3"/>
  <c r="P25" i="3"/>
  <c r="O25" i="3"/>
  <c r="M25" i="3"/>
  <c r="L25" i="3"/>
  <c r="K25" i="3"/>
  <c r="O24" i="3"/>
  <c r="L24" i="3"/>
  <c r="K24" i="3"/>
  <c r="M24" i="3" s="1"/>
  <c r="T24" i="3" s="1"/>
  <c r="O23" i="3"/>
  <c r="M23" i="3"/>
  <c r="L23" i="3"/>
  <c r="T23" i="3" s="1"/>
  <c r="K23" i="3"/>
  <c r="O22" i="3"/>
  <c r="M22" i="3"/>
  <c r="L22" i="3"/>
  <c r="T22" i="3" s="1"/>
  <c r="K22" i="3"/>
  <c r="O21" i="3"/>
  <c r="K21" i="3"/>
  <c r="M21" i="3" s="1"/>
  <c r="T20" i="3"/>
  <c r="O20" i="3"/>
  <c r="P20" i="3" s="1"/>
  <c r="M20" i="3"/>
  <c r="L20" i="3"/>
  <c r="K20" i="3"/>
  <c r="O19" i="3"/>
  <c r="K19" i="3"/>
  <c r="M19" i="3" s="1"/>
  <c r="O18" i="3"/>
  <c r="P18" i="3" s="1"/>
  <c r="L18" i="3"/>
  <c r="K18" i="3"/>
  <c r="M18" i="3" s="1"/>
  <c r="T18" i="3" s="1"/>
  <c r="O17" i="3"/>
  <c r="M17" i="3"/>
  <c r="L17" i="3"/>
  <c r="T17" i="3" s="1"/>
  <c r="K17" i="3"/>
  <c r="O16" i="3"/>
  <c r="M16" i="3"/>
  <c r="L16" i="3"/>
  <c r="T16" i="3" s="1"/>
  <c r="K16" i="3"/>
  <c r="O15" i="3"/>
  <c r="K15" i="3"/>
  <c r="M15" i="3" s="1"/>
  <c r="T14" i="3"/>
  <c r="O14" i="3"/>
  <c r="M14" i="3"/>
  <c r="L14" i="3"/>
  <c r="K14" i="3"/>
  <c r="O13" i="3"/>
  <c r="P13" i="3" s="1"/>
  <c r="K13" i="3"/>
  <c r="M13" i="3" s="1"/>
  <c r="O12" i="3"/>
  <c r="L12" i="3"/>
  <c r="K12" i="3"/>
  <c r="M12" i="3" s="1"/>
  <c r="T12" i="3" s="1"/>
  <c r="O11" i="3"/>
  <c r="M11" i="3"/>
  <c r="L11" i="3"/>
  <c r="T11" i="3" s="1"/>
  <c r="K11" i="3"/>
  <c r="O10" i="3"/>
  <c r="M10" i="3"/>
  <c r="L10" i="3"/>
  <c r="T10" i="3" s="1"/>
  <c r="K10" i="3"/>
  <c r="O9" i="3"/>
  <c r="K9" i="3"/>
  <c r="M9" i="3" s="1"/>
  <c r="T8" i="3"/>
  <c r="O8" i="3"/>
  <c r="M8" i="3"/>
  <c r="L8" i="3"/>
  <c r="K8" i="3"/>
  <c r="O7" i="3"/>
  <c r="K7" i="3"/>
  <c r="M7" i="3" s="1"/>
  <c r="O6" i="3"/>
  <c r="L6" i="3"/>
  <c r="K6" i="3"/>
  <c r="M6" i="3" s="1"/>
  <c r="T6" i="3" s="1"/>
  <c r="H27" i="2"/>
  <c r="E23" i="1" s="1"/>
  <c r="G27" i="2"/>
  <c r="F27" i="2"/>
  <c r="D23" i="1" s="1"/>
  <c r="E27" i="2"/>
  <c r="C23" i="1" s="1"/>
  <c r="C27" i="2"/>
  <c r="B23" i="1" s="1"/>
  <c r="B27" i="2"/>
  <c r="A23" i="1" s="1"/>
  <c r="H26" i="2"/>
  <c r="G26" i="2"/>
  <c r="F26" i="2"/>
  <c r="D22" i="1" s="1"/>
  <c r="E26" i="2"/>
  <c r="C22" i="1" s="1"/>
  <c r="C26" i="2"/>
  <c r="B22" i="1" s="1"/>
  <c r="B26" i="2"/>
  <c r="A22" i="1" s="1"/>
  <c r="H25" i="2"/>
  <c r="E21" i="1" s="1"/>
  <c r="G25" i="2"/>
  <c r="F25" i="2"/>
  <c r="D21" i="1" s="1"/>
  <c r="E25" i="2"/>
  <c r="C21" i="1" s="1"/>
  <c r="C25" i="2"/>
  <c r="B21" i="1" s="1"/>
  <c r="B25" i="2"/>
  <c r="A21" i="1" s="1"/>
  <c r="H24" i="2"/>
  <c r="G24" i="2"/>
  <c r="F24" i="2"/>
  <c r="D20" i="1" s="1"/>
  <c r="E24" i="2"/>
  <c r="C20" i="1" s="1"/>
  <c r="C24" i="2"/>
  <c r="B20" i="1" s="1"/>
  <c r="B24" i="2"/>
  <c r="A20" i="1" s="1"/>
  <c r="H23" i="2"/>
  <c r="E19" i="1" s="1"/>
  <c r="G23" i="2"/>
  <c r="F23" i="2"/>
  <c r="D19" i="1" s="1"/>
  <c r="E23" i="2"/>
  <c r="C19" i="1" s="1"/>
  <c r="C23" i="2"/>
  <c r="B19" i="1" s="1"/>
  <c r="B23" i="2"/>
  <c r="A19" i="1" s="1"/>
  <c r="H22" i="2"/>
  <c r="E18" i="1" s="1"/>
  <c r="G22" i="2"/>
  <c r="F22" i="2"/>
  <c r="D18" i="1" s="1"/>
  <c r="E22" i="2"/>
  <c r="C18" i="1" s="1"/>
  <c r="C22" i="2"/>
  <c r="B18" i="1" s="1"/>
  <c r="B22" i="2"/>
  <c r="A18" i="1" s="1"/>
  <c r="H21" i="2"/>
  <c r="E17" i="1" s="1"/>
  <c r="G21" i="2"/>
  <c r="F21" i="2"/>
  <c r="D17" i="1" s="1"/>
  <c r="E21" i="2"/>
  <c r="C17" i="1" s="1"/>
  <c r="C21" i="2"/>
  <c r="B17" i="1" s="1"/>
  <c r="B21" i="2"/>
  <c r="A17" i="1" s="1"/>
  <c r="H20" i="2"/>
  <c r="E16" i="1" s="1"/>
  <c r="G20" i="2"/>
  <c r="H7" i="4" s="1"/>
  <c r="I7" i="4" s="1"/>
  <c r="F20" i="2"/>
  <c r="E20" i="2"/>
  <c r="C16" i="1" s="1"/>
  <c r="C20" i="2"/>
  <c r="B16" i="1" s="1"/>
  <c r="B20" i="2"/>
  <c r="A16" i="1" s="1"/>
  <c r="B8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47" i="1"/>
  <c r="E47" i="1" s="1"/>
  <c r="B46" i="1"/>
  <c r="F46" i="1" s="1"/>
  <c r="A46" i="1"/>
  <c r="I45" i="1"/>
  <c r="B45" i="1"/>
  <c r="F45" i="1" s="1"/>
  <c r="I44" i="1"/>
  <c r="B44" i="1"/>
  <c r="A44" i="1" s="1"/>
  <c r="I43" i="1"/>
  <c r="B43" i="1"/>
  <c r="E43" i="1" s="1"/>
  <c r="B42" i="1"/>
  <c r="D42" i="1" s="1"/>
  <c r="A42" i="1"/>
  <c r="B41" i="1"/>
  <c r="E41" i="1" s="1"/>
  <c r="A41" i="1"/>
  <c r="B40" i="1"/>
  <c r="E40" i="1" s="1"/>
  <c r="I39" i="1"/>
  <c r="B39" i="1"/>
  <c r="A39" i="1" s="1"/>
  <c r="B38" i="1"/>
  <c r="F38" i="1" s="1"/>
  <c r="B37" i="1"/>
  <c r="A37" i="1" s="1"/>
  <c r="B36" i="1"/>
  <c r="F36" i="1" s="1"/>
  <c r="J35" i="1"/>
  <c r="I35" i="1"/>
  <c r="H35" i="1"/>
  <c r="B35" i="1"/>
  <c r="D35" i="1" s="1"/>
  <c r="J34" i="1"/>
  <c r="I34" i="1"/>
  <c r="H34" i="1"/>
  <c r="B34" i="1"/>
  <c r="A34" i="1" s="1"/>
  <c r="J33" i="1"/>
  <c r="I33" i="1"/>
  <c r="H33" i="1"/>
  <c r="B33" i="1"/>
  <c r="D33" i="1" s="1"/>
  <c r="J32" i="1"/>
  <c r="I32" i="1"/>
  <c r="H32" i="1"/>
  <c r="B32" i="1"/>
  <c r="F32" i="1" s="1"/>
  <c r="J31" i="1"/>
  <c r="I31" i="1"/>
  <c r="H31" i="1"/>
  <c r="B31" i="1"/>
  <c r="A31" i="1" s="1"/>
  <c r="J30" i="1"/>
  <c r="I30" i="1"/>
  <c r="H30" i="1"/>
  <c r="B30" i="1"/>
  <c r="A30" i="1" s="1"/>
  <c r="J29" i="1"/>
  <c r="I29" i="1"/>
  <c r="H29" i="1"/>
  <c r="B29" i="1"/>
  <c r="J28" i="1"/>
  <c r="I28" i="1"/>
  <c r="H28" i="1"/>
  <c r="B28" i="1"/>
  <c r="E22" i="1"/>
  <c r="I21" i="1"/>
  <c r="E20" i="1"/>
  <c r="I19" i="1"/>
  <c r="B10" i="1"/>
  <c r="E6" i="1"/>
  <c r="B11" i="8" l="1"/>
  <c r="D41" i="1"/>
  <c r="B9" i="8"/>
  <c r="E9" i="8" s="1"/>
  <c r="E32" i="1"/>
  <c r="A35" i="1"/>
  <c r="E38" i="1"/>
  <c r="C61" i="1"/>
  <c r="D45" i="1"/>
  <c r="D53" i="1"/>
  <c r="E62" i="1"/>
  <c r="E33" i="1"/>
  <c r="F43" i="1"/>
  <c r="E59" i="1"/>
  <c r="C47" i="1"/>
  <c r="C63" i="1"/>
  <c r="D36" i="1"/>
  <c r="F40" i="1"/>
  <c r="C44" i="1"/>
  <c r="F47" i="1"/>
  <c r="D55" i="1"/>
  <c r="D59" i="1"/>
  <c r="D63" i="1"/>
  <c r="E66" i="1"/>
  <c r="E67" i="1"/>
  <c r="C67" i="1"/>
  <c r="F33" i="1"/>
  <c r="D40" i="1"/>
  <c r="C55" i="1"/>
  <c r="E36" i="1"/>
  <c r="E52" i="1"/>
  <c r="E56" i="1"/>
  <c r="C57" i="1"/>
  <c r="E54" i="1"/>
  <c r="E63" i="1"/>
  <c r="C40" i="1"/>
  <c r="D47" i="1"/>
  <c r="D32" i="1"/>
  <c r="C53" i="1"/>
  <c r="E53" i="1"/>
  <c r="E57" i="1"/>
  <c r="E61" i="1"/>
  <c r="E70" i="1"/>
  <c r="D38" i="1"/>
  <c r="F41" i="1"/>
  <c r="E45" i="1"/>
  <c r="D57" i="1"/>
  <c r="C33" i="1"/>
  <c r="A40" i="1"/>
  <c r="D43" i="1"/>
  <c r="A47" i="1"/>
  <c r="D61" i="1"/>
  <c r="D67" i="1"/>
  <c r="E58" i="1"/>
  <c r="E55" i="1"/>
  <c r="C59" i="1"/>
  <c r="P6" i="3"/>
  <c r="P24" i="3"/>
  <c r="P10" i="3"/>
  <c r="P17" i="3"/>
  <c r="S17" i="3" s="1"/>
  <c r="P21" i="3"/>
  <c r="P7" i="3"/>
  <c r="R7" i="3" s="1"/>
  <c r="P14" i="3"/>
  <c r="S14" i="3" s="1"/>
  <c r="P11" i="3"/>
  <c r="R11" i="3" s="1"/>
  <c r="E60" i="1" s="1"/>
  <c r="P15" i="3"/>
  <c r="S15" i="3" s="1"/>
  <c r="P22" i="3"/>
  <c r="S22" i="3" s="1"/>
  <c r="P8" i="3"/>
  <c r="S8" i="3" s="1"/>
  <c r="P19" i="3"/>
  <c r="S19" i="3" s="1"/>
  <c r="P12" i="3"/>
  <c r="P9" i="3"/>
  <c r="C69" i="1" s="1"/>
  <c r="P16" i="3"/>
  <c r="P23" i="3"/>
  <c r="S20" i="3"/>
  <c r="R20" i="3"/>
  <c r="Q20" i="3"/>
  <c r="S24" i="3"/>
  <c r="Q24" i="3"/>
  <c r="R24" i="3"/>
  <c r="Q17" i="3"/>
  <c r="R17" i="3"/>
  <c r="S18" i="3"/>
  <c r="R18" i="3"/>
  <c r="Q18" i="3"/>
  <c r="S21" i="3"/>
  <c r="R21" i="3"/>
  <c r="Q21" i="3"/>
  <c r="R15" i="3"/>
  <c r="Q10" i="3"/>
  <c r="S10" i="3"/>
  <c r="R10" i="3"/>
  <c r="C65" i="1"/>
  <c r="R8" i="3"/>
  <c r="E65" i="1" s="1"/>
  <c r="Q8" i="3"/>
  <c r="D65" i="1" s="1"/>
  <c r="S6" i="3"/>
  <c r="R6" i="3"/>
  <c r="Q6" i="3"/>
  <c r="Q11" i="3"/>
  <c r="S11" i="3"/>
  <c r="S12" i="3"/>
  <c r="Q12" i="3"/>
  <c r="R12" i="3"/>
  <c r="E11" i="8"/>
  <c r="S13" i="3"/>
  <c r="R13" i="3"/>
  <c r="S9" i="3"/>
  <c r="R9" i="3"/>
  <c r="S16" i="3"/>
  <c r="R16" i="3"/>
  <c r="Q16" i="3"/>
  <c r="S23" i="3"/>
  <c r="R23" i="3"/>
  <c r="Q23" i="3"/>
  <c r="H17" i="1"/>
  <c r="J17" i="1" s="1"/>
  <c r="E42" i="1"/>
  <c r="D16" i="1"/>
  <c r="A29" i="1"/>
  <c r="A33" i="1"/>
  <c r="D34" i="1"/>
  <c r="D37" i="1"/>
  <c r="D39" i="1"/>
  <c r="I42" i="1"/>
  <c r="E44" i="1"/>
  <c r="C46" i="1"/>
  <c r="C52" i="1"/>
  <c r="C54" i="1"/>
  <c r="C56" i="1"/>
  <c r="C58" i="1"/>
  <c r="C62" i="1"/>
  <c r="C66" i="1"/>
  <c r="C70" i="1"/>
  <c r="L7" i="3"/>
  <c r="T7" i="3" s="1"/>
  <c r="L13" i="3"/>
  <c r="T13" i="3" s="1"/>
  <c r="L19" i="3"/>
  <c r="T19" i="3" s="1"/>
  <c r="E35" i="1"/>
  <c r="C34" i="1"/>
  <c r="F35" i="1"/>
  <c r="C37" i="1"/>
  <c r="C39" i="1"/>
  <c r="F42" i="1"/>
  <c r="D44" i="1"/>
  <c r="E34" i="1"/>
  <c r="E37" i="1"/>
  <c r="E39" i="1"/>
  <c r="C41" i="1"/>
  <c r="A43" i="1"/>
  <c r="F44" i="1"/>
  <c r="D46" i="1"/>
  <c r="D52" i="1"/>
  <c r="D54" i="1"/>
  <c r="D56" i="1"/>
  <c r="D58" i="1"/>
  <c r="D62" i="1"/>
  <c r="D66" i="1"/>
  <c r="D70" i="1"/>
  <c r="F39" i="1"/>
  <c r="E46" i="1"/>
  <c r="B10" i="8"/>
  <c r="E10" i="8" s="1"/>
  <c r="F34" i="1"/>
  <c r="F37" i="1"/>
  <c r="A28" i="1"/>
  <c r="A32" i="1"/>
  <c r="A36" i="1"/>
  <c r="A38" i="1"/>
  <c r="C43" i="1"/>
  <c r="A45" i="1"/>
  <c r="C32" i="1"/>
  <c r="C36" i="1"/>
  <c r="C38" i="1"/>
  <c r="C45" i="1"/>
  <c r="C35" i="1"/>
  <c r="C42" i="1"/>
  <c r="L9" i="3"/>
  <c r="T9" i="3" s="1"/>
  <c r="L15" i="3"/>
  <c r="T15" i="3" s="1"/>
  <c r="L21" i="3"/>
  <c r="T21" i="3" s="1"/>
  <c r="B7" i="8" l="1"/>
  <c r="E7" i="8" s="1"/>
  <c r="B8" i="8"/>
  <c r="E8" i="8" s="1"/>
  <c r="F70" i="1"/>
  <c r="F69" i="1"/>
  <c r="F52" i="1"/>
  <c r="F59" i="1"/>
  <c r="F67" i="1"/>
  <c r="C28" i="1"/>
  <c r="F55" i="1"/>
  <c r="Q15" i="3"/>
  <c r="F57" i="1"/>
  <c r="F65" i="1"/>
  <c r="F66" i="1"/>
  <c r="C64" i="1"/>
  <c r="F64" i="1" s="1"/>
  <c r="F62" i="1"/>
  <c r="C29" i="1"/>
  <c r="C31" i="1"/>
  <c r="C60" i="1"/>
  <c r="F60" i="1" s="1"/>
  <c r="F61" i="1"/>
  <c r="F58" i="1"/>
  <c r="Q19" i="3"/>
  <c r="F31" i="1"/>
  <c r="C68" i="1"/>
  <c r="F68" i="1" s="1"/>
  <c r="F53" i="1"/>
  <c r="C30" i="1"/>
  <c r="F56" i="1"/>
  <c r="I40" i="1"/>
  <c r="R19" i="3"/>
  <c r="F54" i="1"/>
  <c r="F63" i="1"/>
  <c r="E64" i="1"/>
  <c r="Q22" i="3"/>
  <c r="F30" i="1"/>
  <c r="D31" i="1"/>
  <c r="Q14" i="3"/>
  <c r="R14" i="3"/>
  <c r="S7" i="3"/>
  <c r="R22" i="3"/>
  <c r="E31" i="1" s="1"/>
  <c r="E28" i="1"/>
  <c r="Q13" i="3"/>
  <c r="D29" i="1" s="1"/>
  <c r="Q7" i="3"/>
  <c r="D64" i="1" s="1"/>
  <c r="Q9" i="3"/>
  <c r="D69" i="1" s="1"/>
  <c r="E29" i="1"/>
  <c r="F29" i="1"/>
  <c r="B3" i="8" l="1"/>
  <c r="B11" i="1" s="1"/>
  <c r="E30" i="1"/>
  <c r="E69" i="1"/>
  <c r="J23" i="1"/>
  <c r="I10" i="1"/>
  <c r="I41" i="1"/>
  <c r="I9" i="1"/>
  <c r="F28" i="1"/>
  <c r="D30" i="1"/>
  <c r="D68" i="1"/>
  <c r="E68" i="1"/>
  <c r="H18" i="1"/>
  <c r="J18" i="1" s="1"/>
  <c r="I7" i="1"/>
  <c r="J20" i="1"/>
  <c r="I6" i="1"/>
  <c r="D28" i="1"/>
  <c r="H16" i="1"/>
  <c r="J16" i="1" s="1"/>
  <c r="J24" i="1"/>
  <c r="I8" i="1"/>
  <c r="J19" i="1"/>
  <c r="J22" i="1"/>
  <c r="D60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tc={259327C9-564F-94D4-577F-6C7DBD471040}</author>
  </authors>
  <commentList>
    <comment ref="I6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Цена без НДС = (труд по ставкам + дополнительные расходы + БФ) × (1 − скидка).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tc={6814D4DE-19F6-BBEA-D74A-F5BDBB6F72A2}</author>
    <author>tc={91CAAA93-2C02-D886-DE8E-E597078FAD54}</author>
    <author>tc={23B8E21E-8B63-721E-BC60-2F8B481423B7}</author>
  </authors>
  <commentList>
    <comment ref="B5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Код типа должен совпадать со справочником. Эта ячейка является главным переключателем модели.</t>
        </r>
      </text>
    </comment>
    <comment ref="B16" authorId="1" shapeId="0" xr:uid="{00000000-0006-0000-0100-000004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Опциональная коммерческая надбавка к труду и дополнительным расходам до применения скидки. В примере заказчика использовано 9,4%; в универсальном шаблоне по умолчанию 0%.</t>
        </r>
      </text>
    </comment>
    <comment ref="E20" authorId="2" shapeId="0" xr:uid="{00000000-0006-0000-01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Принятое значение берёт ручной ввод, а если он пуст — значение по умолчанию для выбранного типа.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tc={82EE6876-A228-E60B-787F-088A5E0F9F55}</author>
  </authors>
  <commentList>
    <comment ref="P6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Расчётные часы = часы ИИ × множитель периодичности × сложность × (1 + резерв рисков).</t>
        </r>
      </text>
    </comment>
  </commentList>
</comments>
</file>

<file path=xl/sharedStrings.xml><?xml version="1.0" encoding="utf-8"?>
<sst xmlns="http://schemas.openxmlformats.org/spreadsheetml/2006/main" count="1910" uniqueCount="419">
  <si>
    <t>Итого по проекту — универсальный расчёт стоимости</t>
  </si>
  <si>
    <t>Тип проекта и этапы могут быть загружены из результата нейросети; жёлтые ячейки допускают ручную корректировку</t>
  </si>
  <si>
    <t>Карточка оценки</t>
  </si>
  <si>
    <t>Проект</t>
  </si>
  <si>
    <t>Дата оценки</t>
  </si>
  <si>
    <t>КЛЮЧЕВОЙ ИТОГ</t>
  </si>
  <si>
    <t>Тип проекта</t>
  </si>
  <si>
    <t>Уверенность</t>
  </si>
  <si>
    <t>Цена без НДС</t>
  </si>
  <si>
    <t>Продукт</t>
  </si>
  <si>
    <t>Категория</t>
  </si>
  <si>
    <t>НДС</t>
  </si>
  <si>
    <t>Направление</t>
  </si>
  <si>
    <t>Тип сделки</t>
  </si>
  <si>
    <t>Цена с НДС</t>
  </si>
  <si>
    <t>Расчётная модель</t>
  </si>
  <si>
    <t>Себестоимость</t>
  </si>
  <si>
    <t>Режим оценки</t>
  </si>
  <si>
    <t>Валовая маржа</t>
  </si>
  <si>
    <t>Статус модели</t>
  </si>
  <si>
    <t>Срок результата</t>
  </si>
  <si>
    <t>Ключевые параметры выбранного типа</t>
  </si>
  <si>
    <t>Параметр</t>
  </si>
  <si>
    <t>Ед.</t>
  </si>
  <si>
    <t>Принятое значение</t>
  </si>
  <si>
    <t>Обязателен</t>
  </si>
  <si>
    <t>Как влияет</t>
  </si>
  <si>
    <t>Состав цены</t>
  </si>
  <si>
    <t>База</t>
  </si>
  <si>
    <t>Корректировка</t>
  </si>
  <si>
    <t>Итого</t>
  </si>
  <si>
    <t>Труд по ставкам</t>
  </si>
  <si>
    <t>Внешние затраты</t>
  </si>
  <si>
    <t>База расчёта</t>
  </si>
  <si>
    <t>БФ / коммерческий резерв</t>
  </si>
  <si>
    <t>Цена до скидки</t>
  </si>
  <si>
    <t>Скидка</t>
  </si>
  <si>
    <t>Итоги по этапам</t>
  </si>
  <si>
    <t>Допущения и вопросы</t>
  </si>
  <si>
    <t>№</t>
  </si>
  <si>
    <t>Этап</t>
  </si>
  <si>
    <t>Часы</t>
  </si>
  <si>
    <t>Цена</t>
  </si>
  <si>
    <t>Экв. раб. дни</t>
  </si>
  <si>
    <t>Тип</t>
  </si>
  <si>
    <t>Формулировка</t>
  </si>
  <si>
    <t>Влияние</t>
  </si>
  <si>
    <t>Показатель</t>
  </si>
  <si>
    <t>Значение</t>
  </si>
  <si>
    <t>Комментарий</t>
  </si>
  <si>
    <t>Часы от ИИ</t>
  </si>
  <si>
    <t>До коэффициентов</t>
  </si>
  <si>
    <t>Расчётные часы</t>
  </si>
  <si>
    <t>С учётом периодичности, сложности и риска</t>
  </si>
  <si>
    <t>Эквивалент FTE-дней</t>
  </si>
  <si>
    <t>С учётом параллельной команды</t>
  </si>
  <si>
    <t>Внешняя себестоимость</t>
  </si>
  <si>
    <t>По строкам внешних затрат</t>
  </si>
  <si>
    <t>Применяется к цене до НДС</t>
  </si>
  <si>
    <t>Начисляется после скидки</t>
  </si>
  <si>
    <t>Главное допущение</t>
  </si>
  <si>
    <t>Требуется экспертная проверка</t>
  </si>
  <si>
    <t>Трудозатраты по ролям</t>
  </si>
  <si>
    <t>Код</t>
  </si>
  <si>
    <t>Роль</t>
  </si>
  <si>
    <t>Доля часов</t>
  </si>
  <si>
    <t>Параметры проекта и тип расчёта</t>
  </si>
  <si>
    <t>Общие параметры</t>
  </si>
  <si>
    <t>Определяется выбранным типом</t>
  </si>
  <si>
    <t>Название проекта</t>
  </si>
  <si>
    <t>Код типа из ИИ можно заменить вручную. Расчёт и набор параметров обновятся автоматически.</t>
  </si>
  <si>
    <t>SUP_IT_Implementation</t>
  </si>
  <si>
    <t>Для поддержки и подписок часы «Авто» считаются ежемесячными; для внедрений и аудитов — общими.</t>
  </si>
  <si>
    <t>Бюджетная</t>
  </si>
  <si>
    <t>Строка расчёта может переопределить периодичность и ставки.</t>
  </si>
  <si>
    <t>Уверенность оценки</t>
  </si>
  <si>
    <t>Внешние затраты считаются отдельно; ручная цена имеет приоритет.</t>
  </si>
  <si>
    <t>Ориентир срока, мес.</t>
  </si>
  <si>
    <t>Рабочих часов в дне</t>
  </si>
  <si>
    <t>База часов</t>
  </si>
  <si>
    <t>Плановая дата старта</t>
  </si>
  <si>
    <t>Интерпретация часов ИИ</t>
  </si>
  <si>
    <t>Авто</t>
  </si>
  <si>
    <t>Источник / версия ТЗ</t>
  </si>
  <si>
    <t>Слот</t>
  </si>
  <si>
    <t>Значение от ИИ / пользователя</t>
  </si>
  <si>
    <t>Код влияния</t>
  </si>
  <si>
    <t>Логика</t>
  </si>
  <si>
    <t>Допущения, вопросы и ограничения</t>
  </si>
  <si>
    <t>Источник / основание</t>
  </si>
  <si>
    <t>Влияние на оценку</t>
  </si>
  <si>
    <t>Детализация этапов и работ</t>
  </si>
  <si>
    <t>Синие/жёлтые поля — ввод или переопределение. Формулы извлекают код роли после символа #, поэтому разделитель в названии роли не критичен.</t>
  </si>
  <si>
    <t>№ этапа</t>
  </si>
  <si>
    <t>№ работы</t>
  </si>
  <si>
    <t>Работа</t>
  </si>
  <si>
    <t>Часы ИИ</t>
  </si>
  <si>
    <t>Кол-во (override)</t>
  </si>
  <si>
    <t>Ставка продажи (override)</t>
  </si>
  <si>
    <t>Себестоимость (override)</t>
  </si>
  <si>
    <t>Код роли</t>
  </si>
  <si>
    <t>Ставка продажи</t>
  </si>
  <si>
    <t>Принятая база</t>
  </si>
  <si>
    <t>Множитель</t>
  </si>
  <si>
    <t>Цена труда</t>
  </si>
  <si>
    <t>Себестоимость труда</t>
  </si>
  <si>
    <t>Контроль</t>
  </si>
  <si>
    <t>Площадка / контур</t>
  </si>
  <si>
    <t>Комментарий / допущение</t>
  </si>
  <si>
    <t>L3 Windows инженер | #479</t>
  </si>
  <si>
    <t>L3 Архитектор | #480</t>
  </si>
  <si>
    <t>Администратор проектов | #1206</t>
  </si>
  <si>
    <t>L2 Инженер технической поддержки | #475</t>
  </si>
  <si>
    <t>Менеджер проектов | #1205</t>
  </si>
  <si>
    <t>Провайдеры, лицензии, оборудование и прочие расходы</t>
  </si>
  <si>
    <t>Если цена продажи за единицу заполнена, она имеет приоритет. Иначе применяется метод выбранного типа: маржа или наценка. Для ежемесячных строк применяется срок договора.</t>
  </si>
  <si>
    <t>Описание</t>
  </si>
  <si>
    <t>Количество</t>
  </si>
  <si>
    <t>Себестоимость за ед.</t>
  </si>
  <si>
    <t>Цена продажи за ед. (ручная)</t>
  </si>
  <si>
    <t>Периодичность</t>
  </si>
  <si>
    <t>Итого себестоимость</t>
  </si>
  <si>
    <t>Итого цена</t>
  </si>
  <si>
    <t>Разово</t>
  </si>
  <si>
    <t>Облако</t>
  </si>
  <si>
    <t>В месяц</t>
  </si>
  <si>
    <t>Код типа</t>
  </si>
  <si>
    <t>База часов по умолчанию</t>
  </si>
  <si>
    <t>Метод внешних затрат</t>
  </si>
  <si>
    <t>Примечание</t>
  </si>
  <si>
    <t>SUP_Complex</t>
  </si>
  <si>
    <t>DIT</t>
  </si>
  <si>
    <t>Комплексная поддержка</t>
  </si>
  <si>
    <t>Комплексное обслуживание ИТ-инфраструктуры</t>
  </si>
  <si>
    <t>Услуги</t>
  </si>
  <si>
    <t>Возобновляемая</t>
  </si>
  <si>
    <t>Поддержка</t>
  </si>
  <si>
    <t>По наценке</t>
  </si>
  <si>
    <t>SUP_L1</t>
  </si>
  <si>
    <t>Колл-центр, поддержка</t>
  </si>
  <si>
    <t>Первая линия и обработка обращений</t>
  </si>
  <si>
    <t>Разовая</t>
  </si>
  <si>
    <t>SUP_L2</t>
  </si>
  <si>
    <t>Поддержка пользователей и рабочих мест</t>
  </si>
  <si>
    <t>Вторая линия и поддержка рабочих мест</t>
  </si>
  <si>
    <t>SUP_L3_HW</t>
  </si>
  <si>
    <t>Инфраструктура с аппаратной поддержкой</t>
  </si>
  <si>
    <t>Третья линия и аппаратная поддержка</t>
  </si>
  <si>
    <t>SUP_L3_SW</t>
  </si>
  <si>
    <t>Инфраструктура без аппаратной поддержки</t>
  </si>
  <si>
    <t>Третья линия без аппаратной поддержки</t>
  </si>
  <si>
    <t>SUP_SUPPLIER</t>
  </si>
  <si>
    <t>Проекты с подрядом</t>
  </si>
  <si>
    <t>Услуги с существенной долей внешнего подрядчика</t>
  </si>
  <si>
    <t>Подряд</t>
  </si>
  <si>
    <t>По марже</t>
  </si>
  <si>
    <t>SUP_IT_Audit</t>
  </si>
  <si>
    <t>ИТ-аудит</t>
  </si>
  <si>
    <t>Обследование инфраструктуры и бизнес-процессов</t>
  </si>
  <si>
    <t>Аудит</t>
  </si>
  <si>
    <t>Всего</t>
  </si>
  <si>
    <t>SUP_IT_Consulting</t>
  </si>
  <si>
    <t>ИТ-консалтинг</t>
  </si>
  <si>
    <t>Архитектура, DR, сети, СРК, мониторинг, регламенты</t>
  </si>
  <si>
    <t>Консалтинг</t>
  </si>
  <si>
    <t>Внедрение инфраструктуры</t>
  </si>
  <si>
    <t>Виртуализация, инфраструктурные сервисы, миграции и обновления</t>
  </si>
  <si>
    <t>Внедрение</t>
  </si>
  <si>
    <t>SUP_Cloud_Consulting</t>
  </si>
  <si>
    <t>Облачный консалтинг</t>
  </si>
  <si>
    <t>Архитектура, миграции и проектирование облачного решения</t>
  </si>
  <si>
    <t>SUP_Cloud_IaaS</t>
  </si>
  <si>
    <t>Облачные ресурсы IaaS</t>
  </si>
  <si>
    <t>Продажа облачных ресурсов и сервисов</t>
  </si>
  <si>
    <t>Cloud</t>
  </si>
  <si>
    <t>SUP_Cloud_PaaS</t>
  </si>
  <si>
    <t>Облачная платформа PaaS</t>
  </si>
  <si>
    <t>IaaS, базовые сервисы, лицензии и поддержка</t>
  </si>
  <si>
    <t>SUP_Cloud_SaaS</t>
  </si>
  <si>
    <t>Собственный SaaS</t>
  </si>
  <si>
    <t>Продажа собственных SaaS-продуктов</t>
  </si>
  <si>
    <t>SUP_Cloud_Subscription</t>
  </si>
  <si>
    <t>Подписка стороннего вендора</t>
  </si>
  <si>
    <t>ПО сторонних вендоров по модели подписки</t>
  </si>
  <si>
    <t>Подписка</t>
  </si>
  <si>
    <t>SUP_App_Support</t>
  </si>
  <si>
    <t>Поддержка приложений</t>
  </si>
  <si>
    <t>Эксплуатационная поддержка приложений</t>
  </si>
  <si>
    <t>SUP_IT_office</t>
  </si>
  <si>
    <t>Внедрение офисных пакетов</t>
  </si>
  <si>
    <t>Внедрение российского офисного ПО</t>
  </si>
  <si>
    <t>ПО</t>
  </si>
  <si>
    <t>Поставка + внедрение</t>
  </si>
  <si>
    <t>SUP_import_sub_infra</t>
  </si>
  <si>
    <t>Импортозамещение инфраструктуры</t>
  </si>
  <si>
    <t>Миграция и замена инфраструктурных компонентов</t>
  </si>
  <si>
    <t>SUP_HW</t>
  </si>
  <si>
    <t>Поставка оборудования</t>
  </si>
  <si>
    <t>Поставка оборудования по спецификации</t>
  </si>
  <si>
    <t>Оборудование</t>
  </si>
  <si>
    <t>Поставка</t>
  </si>
  <si>
    <t>SUP_SW</t>
  </si>
  <si>
    <t>Поставка ПО</t>
  </si>
  <si>
    <t>Поставка лицензий по лицензионному договору</t>
  </si>
  <si>
    <t>SUP_Leasing</t>
  </si>
  <si>
    <t>Аренда оборудования</t>
  </si>
  <si>
    <t>Аренда оборудования с возможными сервисными работами</t>
  </si>
  <si>
    <t>Аренда</t>
  </si>
  <si>
    <t>SEC_Audit</t>
  </si>
  <si>
    <t>SEC</t>
  </si>
  <si>
    <t>Аудит инфраструктуры</t>
  </si>
  <si>
    <t>Аудит информационной безопасности</t>
  </si>
  <si>
    <t>SEC_Support</t>
  </si>
  <si>
    <t>Поддержка системы</t>
  </si>
  <si>
    <t>Поддержка системы информационной безопасности</t>
  </si>
  <si>
    <t>SEC_Implementation</t>
  </si>
  <si>
    <t>Внедрение системы</t>
  </si>
  <si>
    <t>Внедрение решения информационной безопасности</t>
  </si>
  <si>
    <t>SEC_HW</t>
  </si>
  <si>
    <t>Поставка оборудования информационной безопасности</t>
  </si>
  <si>
    <t>SEC_SW</t>
  </si>
  <si>
    <t>Поставка лицензий</t>
  </si>
  <si>
    <t>SEC_Complex</t>
  </si>
  <si>
    <t>Комплексная поддержка решений ИБ</t>
  </si>
  <si>
    <t>Значение по умолчанию</t>
  </si>
  <si>
    <t>Пользователей / рабочих мест</t>
  </si>
  <si>
    <t>шт.</t>
  </si>
  <si>
    <t>Да</t>
  </si>
  <si>
    <t>QTY</t>
  </si>
  <si>
    <t>Используется для строк «На единицу»</t>
  </si>
  <si>
    <t>Срок обслуживания</t>
  </si>
  <si>
    <t>мес.</t>
  </si>
  <si>
    <t>TERM_MONTHS</t>
  </si>
  <si>
    <t>Множитель для ежемесячных работ</t>
  </si>
  <si>
    <t>Окно поддержки</t>
  </si>
  <si>
    <t>ч/нед.</t>
  </si>
  <si>
    <t>Нет</t>
  </si>
  <si>
    <t>INFO</t>
  </si>
  <si>
    <t>Контекст нагрузки и сменности</t>
  </si>
  <si>
    <t>Обращений / событий в месяц</t>
  </si>
  <si>
    <t>Контекст нагрузки</t>
  </si>
  <si>
    <t>SLA реакции</t>
  </si>
  <si>
    <t>ч</t>
  </si>
  <si>
    <t>Контекст уровня сервиса</t>
  </si>
  <si>
    <t>Параллельная команда</t>
  </si>
  <si>
    <t>FTE</t>
  </si>
  <si>
    <t>PARALLEL_FTE</t>
  </si>
  <si>
    <t>Оценка календарной нагрузки</t>
  </si>
  <si>
    <t>Резерв рисков</t>
  </si>
  <si>
    <t>%</t>
  </si>
  <si>
    <t>RISK_PCT</t>
  </si>
  <si>
    <t>Добавляется к трудозатратам</t>
  </si>
  <si>
    <t>Наценка внешних затрат</t>
  </si>
  <si>
    <t>MARKUP</t>
  </si>
  <si>
    <t>Применяется при отсутствии ручной цены</t>
  </si>
  <si>
    <t>Пользователей / абонентов</t>
  </si>
  <si>
    <t>Рабочих мест</t>
  </si>
  <si>
    <t>Единиц оборудования</t>
  </si>
  <si>
    <t>Серверов / систем</t>
  </si>
  <si>
    <t>Объём подрядных работ</t>
  </si>
  <si>
    <t>ед.</t>
  </si>
  <si>
    <t>Срок договора</t>
  </si>
  <si>
    <t>Множитель ежемесячных затрат</t>
  </si>
  <si>
    <t>Целевая маржа внешних затрат</t>
  </si>
  <si>
    <t>TARGET_MARGIN</t>
  </si>
  <si>
    <t>Обязательна, если цена не задана вручную</t>
  </si>
  <si>
    <t>Срок мобилизации подрядчика</t>
  </si>
  <si>
    <t>раб. дн.</t>
  </si>
  <si>
    <t>LEAD_DAYS</t>
  </si>
  <si>
    <t>Добавляется к сроку</t>
  </si>
  <si>
    <t>Сложность координации</t>
  </si>
  <si>
    <t>коэф.</t>
  </si>
  <si>
    <t>COMPLEXITY</t>
  </si>
  <si>
    <t>Множитель внутренних часов</t>
  </si>
  <si>
    <t>Оценка срока</t>
  </si>
  <si>
    <t>Добавляется к внутренним часам</t>
  </si>
  <si>
    <t>SLA подрядчика</t>
  </si>
  <si>
    <t>текст</t>
  </si>
  <si>
    <t>Контекст проверки</t>
  </si>
  <si>
    <t>Систем / контуров обследования</t>
  </si>
  <si>
    <t>Используется только для строк с базой «На единицу»</t>
  </si>
  <si>
    <t>Площадок</t>
  </si>
  <si>
    <t>Контекст для декомпозиции и проверки часов</t>
  </si>
  <si>
    <t>Глубина обследования</t>
  </si>
  <si>
    <t>Множитель трудозатрат</t>
  </si>
  <si>
    <t>Параллельных специалистов</t>
  </si>
  <si>
    <t>Используется при оценке календарного срока</t>
  </si>
  <si>
    <t>Срок согласований</t>
  </si>
  <si>
    <t>Добавляется к сроку разового проекта</t>
  </si>
  <si>
    <t>Размер выборки</t>
  </si>
  <si>
    <t>объектов</t>
  </si>
  <si>
    <t>Контекст для экспертной проверки</t>
  </si>
  <si>
    <t>Объём документации</t>
  </si>
  <si>
    <t>док.</t>
  </si>
  <si>
    <t>Архитектурных доменов</t>
  </si>
  <si>
    <t>Площадок / организаций</t>
  </si>
  <si>
    <t>Контекст оценки</t>
  </si>
  <si>
    <t>Рабочих сессий</t>
  </si>
  <si>
    <t>Сложность</t>
  </si>
  <si>
    <t>Объектов / сервисов</t>
  </si>
  <si>
    <t>Интеграций / миграционных потоков</t>
  </si>
  <si>
    <t>Срок поставок / доступов</t>
  </si>
  <si>
    <t>Облачных доменов / потоков</t>
  </si>
  <si>
    <t>Ресурсных единиц / ВМ</t>
  </si>
  <si>
    <t>Срок подписки</t>
  </si>
  <si>
    <t>Множитель ежемесячных работ и затрат</t>
  </si>
  <si>
    <t>Доступность / SLA</t>
  </si>
  <si>
    <t>Контекст конфигурации</t>
  </si>
  <si>
    <t>Трафик / объём данных</t>
  </si>
  <si>
    <t>ТБ/мес.</t>
  </si>
  <si>
    <t>Контекст затрат провайдера</t>
  </si>
  <si>
    <t>Срок запуска</t>
  </si>
  <si>
    <t>Добавляется к сроку запуска</t>
  </si>
  <si>
    <t>Оценка запуска</t>
  </si>
  <si>
    <t>Экземпляров платформы</t>
  </si>
  <si>
    <t>Пользователей / подписок</t>
  </si>
  <si>
    <t>Лицензий / подписок</t>
  </si>
  <si>
    <t>Пользователей / приложений</t>
  </si>
  <si>
    <t>Лицензий / пользователей</t>
  </si>
  <si>
    <t>Срок поставки</t>
  </si>
  <si>
    <t>Добавляется к сроку проекта</t>
  </si>
  <si>
    <t>Срок лицензии</t>
  </si>
  <si>
    <t>Коммерческий контекст</t>
  </si>
  <si>
    <t>Площадок поставки</t>
  </si>
  <si>
    <t>Контекст логистики</t>
  </si>
  <si>
    <t>Сложность внедрения</t>
  </si>
  <si>
    <t>Оценка срока работ</t>
  </si>
  <si>
    <t>Систем / миграционных потоков</t>
  </si>
  <si>
    <t>Гарантия</t>
  </si>
  <si>
    <t>Срок аренды</t>
  </si>
  <si>
    <t>Целевая маржа</t>
  </si>
  <si>
    <t>Депозит</t>
  </si>
  <si>
    <t>Оценка срока запуска</t>
  </si>
  <si>
    <t>Уровень обслуживания</t>
  </si>
  <si>
    <t>Контекст эксплуатации</t>
  </si>
  <si>
    <t>Систем / сегментов ИБ</t>
  </si>
  <si>
    <t>Систем / узлов ИБ</t>
  </si>
  <si>
    <t>Систем / компонентов ИБ</t>
  </si>
  <si>
    <t>Единиц оборудования ИБ</t>
  </si>
  <si>
    <t>Лицензий ИБ</t>
  </si>
  <si>
    <t>Ставка продажи, руб./ч</t>
  </si>
  <si>
    <t>Себестоимость, руб./ч</t>
  </si>
  <si>
    <t>Источник</t>
  </si>
  <si>
    <t>Средняя ставка продажи</t>
  </si>
  <si>
    <t>Средняя себестоимость</t>
  </si>
  <si>
    <t>6034</t>
  </si>
  <si>
    <t>Тимлид-Архитектор ИБ | #6034</t>
  </si>
  <si>
    <t>Ставки.jpg</t>
  </si>
  <si>
    <t>6035</t>
  </si>
  <si>
    <t>Ведущий инженер ИБ | #6035</t>
  </si>
  <si>
    <t>DIT / SUPP</t>
  </si>
  <si>
    <t>6036</t>
  </si>
  <si>
    <t>Пентестер | #6036</t>
  </si>
  <si>
    <t>Средние значения сохранены справочно</t>
  </si>
  <si>
    <t>В строках расчёта используются ставки конкретных ролей</t>
  </si>
  <si>
    <t>6037</t>
  </si>
  <si>
    <t>Ведущий Архитектор ИБ | #6037</t>
  </si>
  <si>
    <t>6039</t>
  </si>
  <si>
    <t>Архитектор ИБ | #6039</t>
  </si>
  <si>
    <t>472</t>
  </si>
  <si>
    <t>Руководитель дежурной смены | #472</t>
  </si>
  <si>
    <t>473</t>
  </si>
  <si>
    <t>Супервизор - Руководитель группы | #473</t>
  </si>
  <si>
    <t>474</t>
  </si>
  <si>
    <t>L1 Инженер дежурной смены | #474</t>
  </si>
  <si>
    <t>475</t>
  </si>
  <si>
    <t>476</t>
  </si>
  <si>
    <t>Руководитель 3 линии | #476</t>
  </si>
  <si>
    <t>477</t>
  </si>
  <si>
    <t>Тимлид - Руководитель группы | #477</t>
  </si>
  <si>
    <t>478</t>
  </si>
  <si>
    <t>L3 Сетевой инженер | #478</t>
  </si>
  <si>
    <t>479</t>
  </si>
  <si>
    <t>480</t>
  </si>
  <si>
    <t>1202</t>
  </si>
  <si>
    <t>L3 DevOps-инженер | #1202</t>
  </si>
  <si>
    <t>1204</t>
  </si>
  <si>
    <t>Руководитель проектного офиса | #1204</t>
  </si>
  <si>
    <t>1205</t>
  </si>
  <si>
    <t>1206</t>
  </si>
  <si>
    <t>1207</t>
  </si>
  <si>
    <t>L3 DBA инженер | #1207</t>
  </si>
  <si>
    <t>Пример расчёта заказчика</t>
  </si>
  <si>
    <t>Контроли модели</t>
  </si>
  <si>
    <t>MODEL STATUS</t>
  </si>
  <si>
    <t>Проверка</t>
  </si>
  <si>
    <t>Дельта / значение</t>
  </si>
  <si>
    <t>Где исправить</t>
  </si>
  <si>
    <t>Статус</t>
  </si>
  <si>
    <t>Тип проекта распознан</t>
  </si>
  <si>
    <t>Ввод!B5</t>
  </si>
  <si>
    <t>Должно быть 1</t>
  </si>
  <si>
    <t>Строки с отсутствующей ставкой</t>
  </si>
  <si>
    <t>Расчёт!E:I</t>
  </si>
  <si>
    <t>0 либо ручные ставки</t>
  </si>
  <si>
    <t>Строки с некорректными часами</t>
  </si>
  <si>
    <t>Расчёт!F:F</t>
  </si>
  <si>
    <t>Должно быть 0</t>
  </si>
  <si>
    <t>Незаполненные обязательные параметры</t>
  </si>
  <si>
    <t>Ввод!D20:D27</t>
  </si>
  <si>
    <t>Срок для ежемесячных строк</t>
  </si>
  <si>
    <t>Ввод: срок договора</t>
  </si>
  <si>
    <t>Должен быть &gt; 0 при ежемесячных строках с ненулевой стоимостью</t>
  </si>
  <si>
    <t>Маржа внешних затрат</t>
  </si>
  <si>
    <t>Ввод: целевая маржа</t>
  </si>
  <si>
    <t>0 &lt; маржа &lt; 95% при наличии внешних затрат</t>
  </si>
  <si>
    <t>Ввод!B11</t>
  </si>
  <si>
    <t>Должно быть &gt; 0</t>
  </si>
  <si>
    <t>Ввод!B8</t>
  </si>
  <si>
    <t>Менее 70% — бюджетная оценка</t>
  </si>
  <si>
    <t>Источники и использование данных</t>
  </si>
  <si>
    <t>Формат</t>
  </si>
  <si>
    <t>Что использовано</t>
  </si>
  <si>
    <t>Ограничения / примечание</t>
  </si>
  <si>
    <t>Дата анализа</t>
  </si>
  <si>
    <t>Строки с отрицательными исходными часами</t>
  </si>
  <si>
    <t>Базис часов</t>
  </si>
  <si>
    <t>Источник параметров</t>
  </si>
  <si>
    <t>Параметры типа проекта загружаются из справочника.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</si>
</sst>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₽&quot;"/>
    <numFmt numFmtId="165" formatCode="yyyy\-mm\-dd"/>
    <numFmt numFmtId="166" formatCode="0.0%"/>
    <numFmt numFmtId="167" formatCode="0.0"/>
  </numFmts>
  <fonts count="14">
    <font>
      <sz val="11"/>
      <name val="Carlito"/>
    </font>
    <font>
      <sz val="11"/>
      <name val="Carlito"/>
    </font>
    <font>
      <b/>
      <sz val="16"/>
      <color rgb="FFFFFFFF"/>
      <name val="Verdana"/>
      <family val="2"/>
      <charset val="204"/>
    </font>
    <font>
      <sz val="11"/>
      <name val="Verdana"/>
      <family val="2"/>
      <charset val="204"/>
    </font>
    <font>
      <i/>
      <sz val="11"/>
      <color rgb="FF1F2937"/>
      <name val="Verdana"/>
      <family val="2"/>
      <charset val="204"/>
    </font>
    <font>
      <b/>
      <sz val="11"/>
      <color rgb="FFFFFFFF"/>
      <name val="Verdana"/>
      <family val="2"/>
      <charset val="204"/>
    </font>
    <font>
      <b/>
      <sz val="11"/>
      <color rgb="FF1F2937"/>
      <name val="Verdana"/>
      <family val="2"/>
      <charset val="204"/>
    </font>
    <font>
      <b/>
      <sz val="12"/>
      <color rgb="FF1F2937"/>
      <name val="Verdana"/>
      <family val="2"/>
      <charset val="204"/>
    </font>
    <font>
      <b/>
      <sz val="10"/>
      <color rgb="FFFFFFFF"/>
      <name val="Verdana"/>
      <family val="2"/>
      <charset val="204"/>
    </font>
    <font>
      <sz val="10"/>
      <color rgb="FF1F2937"/>
      <name val="Verdana"/>
      <family val="2"/>
      <charset val="204"/>
    </font>
    <font>
      <sz val="11"/>
      <color rgb="FF002FA7"/>
      <name val="Verdana"/>
      <family val="2"/>
      <charset val="204"/>
    </font>
    <font>
      <sz val="10"/>
      <color rgb="FF002FA7"/>
      <name val="Verdana"/>
      <family val="2"/>
      <charset val="204"/>
    </font>
    <font>
      <sz val="11"/>
      <color rgb="FF1F2937"/>
      <name val="Verdana"/>
      <family val="2"/>
      <charset val="204"/>
    </font>
    <font>
      <b/>
      <sz val="13"/>
      <color rgb="FFFFFFFF"/>
      <name val="Verdan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E2F0D9"/>
      </patternFill>
    </fill>
    <fill>
      <patternFill patternType="solid">
        <fgColor rgb="FFFFD966"/>
      </patternFill>
    </fill>
    <fill>
      <patternFill patternType="solid">
        <fgColor rgb="FF12123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2FA7"/>
        <bgColor indexed="64"/>
      </patternFill>
    </fill>
    <fill>
      <patternFill patternType="solid">
        <fgColor rgb="FFF9423A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/>
    <xf numFmtId="0" fontId="3" fillId="3" borderId="1" xfId="1" applyFont="1" applyFill="1" applyBorder="1" applyAlignment="1">
      <alignment wrapText="1"/>
    </xf>
    <xf numFmtId="165" fontId="3" fillId="3" borderId="1" xfId="1" applyNumberFormat="1" applyFont="1" applyFill="1" applyBorder="1" applyAlignment="1">
      <alignment wrapText="1"/>
    </xf>
    <xf numFmtId="9" fontId="3" fillId="3" borderId="1" xfId="1" applyNumberFormat="1" applyFont="1" applyFill="1" applyBorder="1" applyAlignment="1">
      <alignment wrapText="1"/>
    </xf>
    <xf numFmtId="0" fontId="9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vertical="center" wrapText="1"/>
    </xf>
    <xf numFmtId="164" fontId="9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4" fontId="9" fillId="4" borderId="1" xfId="1" applyNumberFormat="1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0" fontId="9" fillId="0" borderId="1" xfId="1" applyFont="1" applyBorder="1" applyAlignment="1">
      <alignment vertical="center"/>
    </xf>
    <xf numFmtId="167" fontId="9" fillId="0" borderId="1" xfId="1" applyNumberFormat="1" applyFont="1" applyBorder="1" applyAlignment="1">
      <alignment vertical="center"/>
    </xf>
    <xf numFmtId="167" fontId="9" fillId="0" borderId="1" xfId="1" applyNumberFormat="1" applyFont="1" applyBorder="1" applyAlignment="1">
      <alignment vertical="center" wrapText="1"/>
    </xf>
    <xf numFmtId="164" fontId="9" fillId="0" borderId="1" xfId="1" applyNumberFormat="1" applyFont="1" applyBorder="1" applyAlignment="1">
      <alignment vertical="center" wrapText="1"/>
    </xf>
    <xf numFmtId="166" fontId="9" fillId="0" borderId="1" xfId="1" applyNumberFormat="1" applyFont="1" applyBorder="1" applyAlignment="1">
      <alignment vertical="center" wrapText="1"/>
    </xf>
    <xf numFmtId="0" fontId="6" fillId="7" borderId="1" xfId="1" applyFont="1" applyFill="1" applyBorder="1" applyAlignment="1">
      <alignment wrapText="1"/>
    </xf>
    <xf numFmtId="0" fontId="6" fillId="7" borderId="1" xfId="1" applyFont="1" applyFill="1" applyBorder="1" applyAlignment="1">
      <alignment vertical="center"/>
    </xf>
    <xf numFmtId="0" fontId="8" fillId="8" borderId="1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vertical="center"/>
    </xf>
    <xf numFmtId="0" fontId="9" fillId="7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6" fillId="7" borderId="0" xfId="1" applyFont="1" applyFill="1" applyAlignment="1">
      <alignment wrapText="1"/>
    </xf>
    <xf numFmtId="0" fontId="10" fillId="2" borderId="1" xfId="1" applyFont="1" applyFill="1" applyBorder="1" applyAlignment="1">
      <alignment wrapText="1"/>
    </xf>
    <xf numFmtId="0" fontId="6" fillId="7" borderId="1" xfId="1" applyFont="1" applyFill="1" applyBorder="1"/>
    <xf numFmtId="165" fontId="10" fillId="2" borderId="1" xfId="1" applyNumberFormat="1" applyFont="1" applyFill="1" applyBorder="1" applyAlignment="1">
      <alignment wrapText="1"/>
    </xf>
    <xf numFmtId="9" fontId="10" fillId="2" borderId="1" xfId="1" applyNumberFormat="1" applyFont="1" applyFill="1" applyBorder="1" applyAlignment="1">
      <alignment wrapText="1"/>
    </xf>
    <xf numFmtId="166" fontId="10" fillId="2" borderId="1" xfId="1" applyNumberFormat="1" applyFont="1" applyFill="1" applyBorder="1"/>
    <xf numFmtId="0" fontId="11" fillId="2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vertical="center"/>
    </xf>
    <xf numFmtId="164" fontId="9" fillId="3" borderId="1" xfId="1" applyNumberFormat="1" applyFont="1" applyFill="1" applyBorder="1" applyAlignment="1">
      <alignment vertical="center"/>
    </xf>
    <xf numFmtId="2" fontId="9" fillId="3" borderId="1" xfId="1" applyNumberFormat="1" applyFont="1" applyFill="1" applyBorder="1" applyAlignment="1">
      <alignment vertical="center"/>
    </xf>
    <xf numFmtId="167" fontId="9" fillId="3" borderId="1" xfId="1" applyNumberFormat="1" applyFont="1" applyFill="1" applyBorder="1" applyAlignment="1">
      <alignment vertical="center"/>
    </xf>
    <xf numFmtId="0" fontId="11" fillId="2" borderId="1" xfId="1" applyFont="1" applyFill="1" applyBorder="1" applyAlignment="1">
      <alignment vertical="center"/>
    </xf>
    <xf numFmtId="167" fontId="11" fillId="2" borderId="1" xfId="1" applyNumberFormat="1" applyFont="1" applyFill="1" applyBorder="1" applyAlignment="1">
      <alignment vertical="center"/>
    </xf>
    <xf numFmtId="164" fontId="11" fillId="2" borderId="1" xfId="1" applyNumberFormat="1" applyFont="1" applyFill="1" applyBorder="1" applyAlignment="1">
      <alignment vertical="center"/>
    </xf>
    <xf numFmtId="0" fontId="13" fillId="6" borderId="1" xfId="1" applyFont="1" applyFill="1" applyBorder="1"/>
    <xf numFmtId="165" fontId="9" fillId="0" borderId="1" xfId="1" applyNumberFormat="1" applyFont="1" applyBorder="1" applyAlignment="1">
      <alignment vertical="center" wrapText="1"/>
    </xf>
    <xf numFmtId="0" fontId="5" fillId="8" borderId="0" xfId="1" applyFont="1" applyFill="1" applyAlignment="1">
      <alignment vertical="center"/>
    </xf>
    <xf numFmtId="0" fontId="3" fillId="0" borderId="0" xfId="0" applyFont="1"/>
    <xf numFmtId="164" fontId="7" fillId="4" borderId="1" xfId="1" applyNumberFormat="1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166" fontId="7" fillId="4" borderId="1" xfId="1" applyNumberFormat="1" applyFont="1" applyFill="1" applyBorder="1" applyAlignment="1">
      <alignment vertical="center"/>
    </xf>
    <xf numFmtId="0" fontId="2" fillId="6" borderId="0" xfId="1" applyFont="1" applyFill="1" applyAlignment="1">
      <alignment horizontal="left" vertical="center"/>
    </xf>
    <xf numFmtId="0" fontId="4" fillId="7" borderId="0" xfId="1" applyFont="1" applyFill="1" applyAlignment="1">
      <alignment vertical="center"/>
    </xf>
    <xf numFmtId="0" fontId="5" fillId="9" borderId="0" xfId="1" applyFont="1" applyFill="1" applyAlignment="1">
      <alignment horizontal="center"/>
    </xf>
    <xf numFmtId="0" fontId="3" fillId="3" borderId="1" xfId="1" applyFont="1" applyFill="1" applyBorder="1" applyAlignment="1">
      <alignment wrapText="1"/>
    </xf>
    <xf numFmtId="0" fontId="12" fillId="3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b6f93b773ebc4470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1676400</xdr:colOff>
      <xdr:row>25</xdr:row>
      <xdr:rowOff>228600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43EF8CD-64F0-45FD-BC1A-484D628B868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1676400</xdr:colOff>
      <xdr:row>25</xdr:row>
      <xdr:rowOff>228600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11B263A-9637-4CF7-97C1-5CBF3BAF4B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1676400</xdr:colOff>
      <xdr:row>35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4E2EC82-6075-42E5-9468-C6D6848D43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1676400</xdr:colOff>
      <xdr:row>35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060223E-47E2-4E12-AD60-0ED7A4DF4C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6478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1219200</xdr:colOff>
      <xdr:row>32</xdr:row>
      <xdr:rowOff>114300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E1293696-B764-4FC9-B1CC-C125F2F8F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32</xdr:row>
      <xdr:rowOff>114300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1C47B5DC-D829-403E-8D68-F17C210D98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33</xdr:row>
      <xdr:rowOff>114300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D76A22A-C957-4410-91E2-ACD319A1C6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6656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33</xdr:row>
      <xdr:rowOff>114300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BC5DEAD5-B285-4FEF-86A1-3A303B1C30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086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A2F5DE84-AF29-4226-9EDC-58858CB058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8F28F3B-4E23-4088-AF1D-B082F5924F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1614D9-6549-47DB-8540-9327280C30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29996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E37076F-C462-48C1-ABF1-26BBF5281C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2847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1DA0D40-D69B-4F3D-AB83-7A78AE24308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I6" dT="2026-08-19T16:45:18.048" personId="{C1DA0D40-D69B-4F3D-AB83-7A78AE243086}" id="{259327C9-564F-94D4-577F-6C7DBD471040}">
    <xltc:text>Цена без НДС = (труд по ставкам + дополнительные расходы + БФ) × (1 − скидка).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19T16:45:18.042" personId="{C1DA0D40-D69B-4F3D-AB83-7A78AE243086}" id="{6814D4DE-19F6-BBEA-D74A-F5BDBB6F72A2}">
    <xltc:text>Код типа должен совпадать со справочником. Эта ячейка является главным переключателем модели.</xltc:text>
  </xltc:threadedComment>
  <xltc:threadedComment ref="E8" dT="2026-08-19T16:45:18.048" personId="{C1DA0D40-D69B-4F3D-AB83-7A78AE243086}" id="{96C19C0E-3F6E-34C0-8500-F0B9775D3717}">
    <xltc:text>CRM-показатель перенесён из PDF как справочный. Назначение столбца в источнике не указано, поэтому показатель не участвует в ценообразовании.</xltc:text>
  </xltc:threadedComment>
  <xltc:threadedComment ref="E20" dT="2026-08-19T16:45:18.048" personId="{C1DA0D40-D69B-4F3D-AB83-7A78AE243086}" id="{23B8E21E-8B63-721E-BC60-2F8B481423B7}">
    <xltc:text>Принятое значение берёт ручной ввод, а если он пуст — значение по умолчанию для выбранного типа.</xltc:text>
  </xltc:threadedComment>
  <xltc:threadedComment ref="B16" dT="2026-08-19T16:45:18.048" personId="{C1DA0D40-D69B-4F3D-AB83-7A78AE243086}" id="{91CAAA93-2C02-D886-DE8E-E597078FAD54}">
    <xltc:text>Опциональная коммерческая надбавка к труду и дополнительным расходам до применения скидки. В примере заказчика использовано 9,4%; в универсальном шаблоне по умолчанию 0%.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P6" dT="2026-08-19T16:45:18.048" personId="{C1DA0D40-D69B-4F3D-AB83-7A78AE243086}" id="{82EE6876-A228-E60B-787F-088A5E0F9F55}">
    <xltc:text>Расчётные часы = часы ИИ × множитель периодичности × сложность × (1 + резерв рисков).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16935475feca44b8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642ec29c40c8471e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6aaab483a6664f8d" Type="http://schemas.microsoft.com/office/2017/10/relationships/threadedComment" Target="../threadedcomments/threadedcomment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abSelected="1" workbookViewId="0">
      <selection activeCell="I11" sqref="I11"/>
    </sheetView>
  </sheetViews>
  <sheetFormatPr defaultRowHeight="13.8"/>
  <cols>
    <col min="1" max="1" width="16.69921875" customWidth="1"/>
    <col min="2" max="2" width="29.296875" customWidth="1"/>
    <col min="3" max="3" width="14" customWidth="1"/>
    <col min="4" max="4" width="18" customWidth="1"/>
    <col min="5" max="5" width="30" customWidth="1"/>
    <col min="6" max="6" width="15" customWidth="1"/>
    <col min="7" max="7" width="25" customWidth="1"/>
    <col min="8" max="8" width="20" customWidth="1"/>
    <col min="9" max="9" width="34" customWidth="1"/>
    <col min="10" max="10" width="28" customWidth="1"/>
  </cols>
  <sheetData>
    <row r="1" spans="1:10" ht="30" customHeight="1">
      <c r="A1" s="43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2.95" customHeight="1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</row>
    <row r="5" spans="1:10">
      <c r="A5" s="16" t="s">
        <v>3</v>
      </c>
      <c r="B5" s="2" t="str">
        <f>IF(Ввод!$B$4="","",Ввод!$B$4)</f>
        <v/>
      </c>
      <c r="C5" s="1"/>
      <c r="D5" s="16" t="s">
        <v>4</v>
      </c>
      <c r="E5" s="3" t="str">
        <f>IF(Ввод!$B$6="","",Ввод!$B$6)</f>
        <v/>
      </c>
      <c r="F5" s="1"/>
      <c r="G5" s="45" t="s">
        <v>5</v>
      </c>
      <c r="H5" s="45"/>
      <c r="I5" s="45"/>
      <c r="J5" s="45"/>
    </row>
    <row r="6" spans="1:10" ht="27.6">
      <c r="A6" s="16" t="s">
        <v>6</v>
      </c>
      <c r="B6" s="2" t="str">
        <f>IF(Ввод!$B$5="","",Ввод!$B$5)</f>
        <v/>
      </c>
      <c r="C6" s="1"/>
      <c r="D6" s="16" t="s">
        <v>7</v>
      </c>
      <c r="E6" s="4">
        <f>Ввод!$B$8</f>
        <v>0.7</v>
      </c>
      <c r="F6" s="1"/>
      <c r="G6" s="17" t="s">
        <v>8</v>
      </c>
      <c r="H6" s="17"/>
      <c r="I6" s="40">
        <f>((SUM(Расчёт!$Q$6:$Q$105)+SUM('Внешние затраты'!$J$6:$J$25))+((SUM(Расчёт!$Q$6:$Q$105)+SUM('Внешние затраты'!$J$6:$J$25))*Ввод!$B$16))*(1-Ввод!$B$10)</f>
        <v>0</v>
      </c>
      <c r="J6" s="40"/>
    </row>
    <row r="7" spans="1:10" ht="16.2">
      <c r="A7" s="16" t="s">
        <v>9</v>
      </c>
      <c r="B7" s="2" t="str">
        <f>Ввод!$E$5</f>
        <v/>
      </c>
      <c r="C7" s="1"/>
      <c r="D7" s="16" t="s">
        <v>10</v>
      </c>
      <c r="E7" s="2" t="str">
        <f>Ввод!$E$7</f>
        <v/>
      </c>
      <c r="F7" s="1"/>
      <c r="G7" s="17" t="s">
        <v>11</v>
      </c>
      <c r="H7" s="17"/>
      <c r="I7" s="40">
        <f>((SUM(Расчёт!$Q$6:$Q$105)+SUM('Внешние затраты'!$J$6:$J$25))+((SUM(Расчёт!$Q$6:$Q$105)+SUM('Внешние затраты'!$J$6:$J$25))*Ввод!$B$16))*(1-Ввод!$B$10)*Ввод!$B$9</f>
        <v>0</v>
      </c>
      <c r="J7" s="40"/>
    </row>
    <row r="8" spans="1:10" ht="27.6">
      <c r="A8" s="16" t="s">
        <v>12</v>
      </c>
      <c r="B8" s="2" t="str">
        <f>Ввод!$E$4</f>
        <v/>
      </c>
      <c r="C8" s="1"/>
      <c r="D8" s="16" t="s">
        <v>13</v>
      </c>
      <c r="E8" s="2" t="str">
        <f>Ввод!$E$9</f>
        <v/>
      </c>
      <c r="F8" s="1"/>
      <c r="G8" s="17" t="s">
        <v>14</v>
      </c>
      <c r="H8" s="17"/>
      <c r="I8" s="41">
        <f>((SUM(Расчёт!$Q$6:$Q$105)+SUM('Внешние затраты'!$J$6:$J$25))+((SUM(Расчёт!$Q$6:$Q$105)+SUM('Внешние затраты'!$J$6:$J$25))*Ввод!$B$16))*(1-Ввод!$B$10)*(1+Ввод!$B$9)</f>
        <v>0</v>
      </c>
      <c r="J8" s="41"/>
    </row>
    <row r="9" spans="1:10" ht="27.6">
      <c r="A9" s="16" t="s">
        <v>15</v>
      </c>
      <c r="B9" s="2" t="str">
        <f>Ввод!$E$6</f>
        <v/>
      </c>
      <c r="C9" s="1"/>
      <c r="D9" s="16" t="s">
        <v>77</v>
      </c>
      <c r="E9" s="4" t="str">
        <f>Ввод!$E$8</f>
        <v/>
      </c>
      <c r="F9" s="1"/>
      <c r="G9" s="17" t="s">
        <v>16</v>
      </c>
      <c r="H9" s="17"/>
      <c r="I9" s="40">
        <f>(SUM(Расчёт!$R$6:$R$105)+SUM('Внешние затраты'!$I$6:$I$25))</f>
        <v>0</v>
      </c>
      <c r="J9" s="40"/>
    </row>
    <row r="10" spans="1:10" ht="27.6">
      <c r="A10" s="16" t="s">
        <v>17</v>
      </c>
      <c r="B10" s="2" t="str">
        <f>Ввод!$B$7</f>
        <v>Бюджетная</v>
      </c>
      <c r="C10" s="1"/>
      <c r="D10" s="16" t="s">
        <v>416</v>
      </c>
      <c r="E10" s="4" t="str">
        <f>Ввод!$E$10</f>
        <v/>
      </c>
      <c r="F10" s="1"/>
      <c r="G10" s="17" t="s">
        <v>18</v>
      </c>
      <c r="H10" s="17"/>
      <c r="I10" s="42">
        <f>IFERROR((((SUM(Расчёт!$Q$6:$Q$105)+SUM('Внешние затраты'!$J$6:$J$25))+((SUM(Расчёт!$Q$6:$Q$105)+SUM('Внешние затраты'!$J$6:$J$25))*Ввод!$B$16))*(1-Ввод!$B$10)-(SUM(Расчёт!$R$6:$R$105)+SUM('Внешние затраты'!$I$6:$I$25)))/((SUM(Расчёт!$Q$6:$Q$105)+SUM('Внешние затраты'!$J$6:$J$25))+((SUM(Расчёт!$Q$6:$Q$105)+SUM('Внешние затраты'!$J$6:$J$25))*Ввод!$B$16))*(1-Ввод!$B$10),0)</f>
        <v>0</v>
      </c>
      <c r="J10" s="42"/>
    </row>
    <row r="11" spans="1:10" ht="27.6">
      <c r="A11" s="16" t="s">
        <v>19</v>
      </c>
      <c r="B11" s="2" t="str">
        <f>Проверки!$B$3</f>
        <v>FAIL</v>
      </c>
      <c r="C11" s="1"/>
      <c r="D11" s="16" t="s">
        <v>20</v>
      </c>
      <c r="E11" s="2" t="str">
        <f>IF(Ввод!$B$5="","",IF(OR(Ввод!$E$9="Возобновляемая",Ввод!$E$6="Поддержка",Ввод!$E$6="Облако",Ввод!$E$6="Подписка",Ввод!$E$6="Аренда"),MAX(1,SUMIF(Ввод!$G$20:$G$27,"TERM_MONTHS",Ввод!$E$20:$E$27))&amp;" мес.",ROUNDUP(SUM(Расчёт!$S$6:$S$105)+SUMIF(Ввод!$G$20:$G$27,"LEAD_DAYS",Ввод!$E$20:$E$27),0)&amp;" раб. дн."))</f>
        <v/>
      </c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2.95" customHeight="1">
      <c r="A14" s="38" t="s">
        <v>21</v>
      </c>
      <c r="B14" s="39"/>
      <c r="C14" s="39"/>
      <c r="D14" s="39"/>
      <c r="E14" s="39"/>
      <c r="F14" s="39"/>
      <c r="G14" s="39"/>
      <c r="H14" s="39"/>
      <c r="I14" s="39"/>
      <c r="J14" s="39"/>
    </row>
    <row r="15" spans="1:10" ht="25.2">
      <c r="A15" s="18" t="s">
        <v>22</v>
      </c>
      <c r="B15" s="18" t="s">
        <v>23</v>
      </c>
      <c r="C15" s="18" t="s">
        <v>24</v>
      </c>
      <c r="D15" s="18" t="s">
        <v>25</v>
      </c>
      <c r="E15" s="18" t="s">
        <v>26</v>
      </c>
      <c r="F15" s="1"/>
      <c r="G15" s="18" t="s">
        <v>27</v>
      </c>
      <c r="H15" s="18" t="s">
        <v>28</v>
      </c>
      <c r="I15" s="18" t="s">
        <v>29</v>
      </c>
      <c r="J15" s="18" t="s">
        <v>30</v>
      </c>
    </row>
    <row r="16" spans="1:10">
      <c r="A16" s="5" t="str">
        <f>Ввод!$B$20</f>
        <v/>
      </c>
      <c r="B16" s="5" t="str">
        <f>Ввод!$C$20</f>
        <v/>
      </c>
      <c r="C16" s="6" t="str">
        <f>Ввод!$E$20</f>
        <v/>
      </c>
      <c r="D16" s="5" t="str">
        <f>Ввод!$F$20</f>
        <v/>
      </c>
      <c r="E16" s="5" t="str">
        <f>Ввод!$H$20</f>
        <v/>
      </c>
      <c r="F16" s="1"/>
      <c r="G16" s="19" t="s">
        <v>31</v>
      </c>
      <c r="H16" s="7">
        <f>SUM(Расчёт!$Q$6:$Q$105)</f>
        <v>0</v>
      </c>
      <c r="I16" s="7"/>
      <c r="J16" s="7">
        <f>H16</f>
        <v>0</v>
      </c>
    </row>
    <row r="17" spans="1:10">
      <c r="A17" s="5" t="str">
        <f>Ввод!$B$21</f>
        <v/>
      </c>
      <c r="B17" s="5" t="str">
        <f>Ввод!$C$21</f>
        <v/>
      </c>
      <c r="C17" s="6" t="str">
        <f>Ввод!$E$21</f>
        <v/>
      </c>
      <c r="D17" s="5" t="str">
        <f>Ввод!$F$21</f>
        <v/>
      </c>
      <c r="E17" s="5" t="str">
        <f>Ввод!$H$21</f>
        <v/>
      </c>
      <c r="F17" s="1"/>
      <c r="G17" s="19" t="s">
        <v>32</v>
      </c>
      <c r="H17" s="7">
        <f>SUM('Внешние затраты'!$J$6:$J$25)</f>
        <v>0</v>
      </c>
      <c r="I17" s="7"/>
      <c r="J17" s="7">
        <f>H17</f>
        <v>0</v>
      </c>
    </row>
    <row r="18" spans="1:10">
      <c r="A18" s="5" t="str">
        <f>Ввод!$B$22</f>
        <v/>
      </c>
      <c r="B18" s="5" t="str">
        <f>Ввод!$C$22</f>
        <v/>
      </c>
      <c r="C18" s="6" t="str">
        <f>Ввод!$E$22</f>
        <v/>
      </c>
      <c r="D18" s="5" t="str">
        <f>Ввод!$F$22</f>
        <v/>
      </c>
      <c r="E18" s="5" t="str">
        <f>Ввод!$H$22</f>
        <v/>
      </c>
      <c r="F18" s="1"/>
      <c r="G18" s="19" t="s">
        <v>33</v>
      </c>
      <c r="H18" s="7">
        <f>SUM(Расчёт!$Q$6:$Q$105)+SUM('Внешние затраты'!$J$6:$J$25)</f>
        <v>0</v>
      </c>
      <c r="I18" s="7"/>
      <c r="J18" s="7">
        <f>H18</f>
        <v>0</v>
      </c>
    </row>
    <row r="19" spans="1:10">
      <c r="A19" s="5" t="str">
        <f>Ввод!$B$23</f>
        <v/>
      </c>
      <c r="B19" s="5" t="str">
        <f>Ввод!$C$23</f>
        <v/>
      </c>
      <c r="C19" s="6" t="str">
        <f>Ввод!$E$23</f>
        <v/>
      </c>
      <c r="D19" s="5" t="str">
        <f>Ввод!$F$23</f>
        <v/>
      </c>
      <c r="E19" s="5" t="str">
        <f>Ввод!$H$23</f>
        <v/>
      </c>
      <c r="F19" s="1"/>
      <c r="G19" s="19" t="s">
        <v>34</v>
      </c>
      <c r="H19" s="7"/>
      <c r="I19" s="8">
        <f>Ввод!$B$16</f>
        <v>0</v>
      </c>
      <c r="J19" s="7">
        <f>(SUM(Расчёт!$Q$6:$Q$105)+SUM('Внешние затраты'!$J$6:$J$25))*Ввод!$B$16</f>
        <v>0</v>
      </c>
    </row>
    <row r="20" spans="1:10">
      <c r="A20" s="5" t="str">
        <f>Ввод!$B$24</f>
        <v/>
      </c>
      <c r="B20" s="5" t="str">
        <f>Ввод!$C$24</f>
        <v/>
      </c>
      <c r="C20" s="6" t="str">
        <f>Ввод!$E$24</f>
        <v/>
      </c>
      <c r="D20" s="5" t="str">
        <f>Ввод!$F$24</f>
        <v/>
      </c>
      <c r="E20" s="5" t="str">
        <f>Ввод!$H$24</f>
        <v/>
      </c>
      <c r="F20" s="1"/>
      <c r="G20" s="19" t="s">
        <v>35</v>
      </c>
      <c r="H20" s="7"/>
      <c r="I20" s="8"/>
      <c r="J20" s="7">
        <f>(SUM(Расчёт!$Q$6:$Q$105)+SUM('Внешние затраты'!$J$6:$J$25))+((SUM(Расчёт!$Q$6:$Q$105)+SUM('Внешние затраты'!$J$6:$J$25))*Ввод!$B$16)</f>
        <v>0</v>
      </c>
    </row>
    <row r="21" spans="1:10">
      <c r="A21" s="5" t="str">
        <f>Ввод!$B$25</f>
        <v/>
      </c>
      <c r="B21" s="5" t="str">
        <f>Ввод!$C$25</f>
        <v/>
      </c>
      <c r="C21" s="6" t="str">
        <f>Ввод!$E$25</f>
        <v/>
      </c>
      <c r="D21" s="5" t="str">
        <f>Ввод!$F$25</f>
        <v/>
      </c>
      <c r="E21" s="5" t="str">
        <f>Ввод!$H$25</f>
        <v/>
      </c>
      <c r="F21" s="1"/>
      <c r="G21" s="19" t="s">
        <v>36</v>
      </c>
      <c r="H21" s="7"/>
      <c r="I21" s="8">
        <f>Ввод!$B$10</f>
        <v>0</v>
      </c>
      <c r="J21" s="7">
        <f>-((SUM(Расчёт!$Q$6:$Q$105)+SUM('Внешние затраты'!$J$6:$J$25))+((SUM(Расчёт!$Q$6:$Q$105)+SUM('Внешние затраты'!$J$6:$J$25))*Ввод!$B$16))*Ввод!$B$10</f>
        <v>0</v>
      </c>
    </row>
    <row r="22" spans="1:10">
      <c r="A22" s="5" t="str">
        <f>Ввод!$B$26</f>
        <v/>
      </c>
      <c r="B22" s="5" t="str">
        <f>Ввод!$C$26</f>
        <v/>
      </c>
      <c r="C22" s="6" t="str">
        <f>Ввод!$E$26</f>
        <v/>
      </c>
      <c r="D22" s="5" t="str">
        <f>Ввод!$F$26</f>
        <v/>
      </c>
      <c r="E22" s="5" t="str">
        <f>Ввод!$H$26</f>
        <v/>
      </c>
      <c r="F22" s="1"/>
      <c r="G22" s="19" t="s">
        <v>8</v>
      </c>
      <c r="H22" s="7"/>
      <c r="I22" s="7"/>
      <c r="J22" s="9">
        <f>((SUM(Расчёт!$Q$6:$Q$105)+SUM('Внешние затраты'!$J$6:$J$25))+((SUM(Расчёт!$Q$6:$Q$105)+SUM('Внешние затраты'!$J$6:$J$25))*Ввод!$B$16))*(1-Ввод!$B$10)</f>
        <v>0</v>
      </c>
    </row>
    <row r="23" spans="1:10">
      <c r="A23" s="5" t="str">
        <f>Ввод!$B$27</f>
        <v/>
      </c>
      <c r="B23" s="5" t="str">
        <f>Ввод!$C$27</f>
        <v/>
      </c>
      <c r="C23" s="6" t="str">
        <f>Ввод!$E$27</f>
        <v/>
      </c>
      <c r="D23" s="5" t="str">
        <f>Ввод!$F$27</f>
        <v/>
      </c>
      <c r="E23" s="5" t="str">
        <f>Ввод!$H$27</f>
        <v/>
      </c>
      <c r="F23" s="1"/>
      <c r="G23" s="19" t="s">
        <v>11</v>
      </c>
      <c r="H23" s="7"/>
      <c r="I23" s="7"/>
      <c r="J23" s="9">
        <f>((SUM(Расчёт!$Q$6:$Q$105)+SUM('Внешние затраты'!$J$6:$J$25))+((SUM(Расчёт!$Q$6:$Q$105)+SUM('Внешние затраты'!$J$6:$J$25))*Ввод!$B$16))*(1-Ввод!$B$10)*Ввод!$B$9</f>
        <v>0</v>
      </c>
    </row>
    <row r="24" spans="1:10" ht="16.2">
      <c r="A24" s="1"/>
      <c r="B24" s="1"/>
      <c r="C24" s="1"/>
      <c r="D24" s="1"/>
      <c r="E24" s="1"/>
      <c r="F24" s="1"/>
      <c r="G24" s="19" t="s">
        <v>14</v>
      </c>
      <c r="H24" s="7"/>
      <c r="I24" s="7"/>
      <c r="J24" s="10">
        <f>((SUM(Расчёт!$Q$6:$Q$105)+SUM('Внешние затраты'!$J$6:$J$25))+((SUM(Расчёт!$Q$6:$Q$105)+SUM('Внешние затраты'!$J$6:$J$25))*Ввод!$B$16))*(1-Ввод!$B$10)*(1+Ввод!$B$9)</f>
        <v>0</v>
      </c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95" customHeight="1">
      <c r="A26" s="38" t="s">
        <v>37</v>
      </c>
      <c r="B26" s="39"/>
      <c r="C26" s="39"/>
      <c r="D26" s="39"/>
      <c r="E26" s="39"/>
      <c r="F26" s="39"/>
      <c r="G26" s="1"/>
      <c r="H26" s="38" t="s">
        <v>38</v>
      </c>
      <c r="I26" s="39"/>
      <c r="J26" s="39"/>
    </row>
    <row r="27" spans="1:10">
      <c r="A27" s="18" t="s">
        <v>39</v>
      </c>
      <c r="B27" s="18" t="s">
        <v>40</v>
      </c>
      <c r="C27" s="18" t="s">
        <v>41</v>
      </c>
      <c r="D27" s="18" t="s">
        <v>42</v>
      </c>
      <c r="E27" s="18" t="s">
        <v>16</v>
      </c>
      <c r="F27" s="18" t="s">
        <v>43</v>
      </c>
      <c r="G27" s="1"/>
      <c r="H27" s="18" t="s">
        <v>44</v>
      </c>
      <c r="I27" s="18" t="s">
        <v>45</v>
      </c>
      <c r="J27" s="18" t="s">
        <v>46</v>
      </c>
    </row>
    <row r="28" spans="1:10">
      <c r="A28" s="11" t="str">
        <f>IF(B28="","",1)</f>
        <v/>
      </c>
      <c r="B28" s="5" t="str">
        <f>IFERROR(INDEX(Расчёт!$B$6:$B$105,MATCH(1,Расчёт!$A$6:$A$105,0)),"")</f>
        <v/>
      </c>
      <c r="C28" s="12" t="str">
        <f>IF(B28="","",SUMIF(Расчёт!$A$6:$A$105,1,Расчёт!$P$6:$P$105))</f>
        <v/>
      </c>
      <c r="D28" s="7" t="str">
        <f>IF(B28="","",SUMIF(Расчёт!$A$6:$A$105,1,Расчёт!$Q$6:$Q$105))</f>
        <v/>
      </c>
      <c r="E28" s="7" t="str">
        <f>IF(B28="","",SUMIF(Расчёт!$A$6:$A$105,1,Расчёт!$R$6:$R$105))</f>
        <v/>
      </c>
      <c r="F28" s="12" t="str">
        <f>IF(B28="","",SUMIF(Расчёт!$A$6:$A$105,1,Расчёт!$S$6:$S$105))</f>
        <v/>
      </c>
      <c r="G28" s="1"/>
      <c r="H28" s="5" t="str">
        <f>IF(Ввод!$A$32="","",Ввод!$A$32)</f>
        <v/>
      </c>
      <c r="I28" s="5" t="str">
        <f>IF(Ввод!$B$32="","",Ввод!$B$32)</f>
        <v/>
      </c>
      <c r="J28" s="5" t="str">
        <f>IF(Ввод!$D$32="","",Ввод!$D$32)</f>
        <v/>
      </c>
    </row>
    <row r="29" spans="1:10">
      <c r="A29" s="11" t="str">
        <f>IF(B29="","",2)</f>
        <v/>
      </c>
      <c r="B29" s="5" t="str">
        <f>IFERROR(INDEX(Расчёт!$B$6:$B$105,MATCH(2,Расчёт!$A$6:$A$105,0)),"")</f>
        <v/>
      </c>
      <c r="C29" s="12" t="str">
        <f>IF(B29="","",SUMIF(Расчёт!$A$6:$A$105,2,Расчёт!$P$6:$P$105))</f>
        <v/>
      </c>
      <c r="D29" s="7" t="str">
        <f>IF(B29="","",SUMIF(Расчёт!$A$6:$A$105,2,Расчёт!$Q$6:$Q$105))</f>
        <v/>
      </c>
      <c r="E29" s="7" t="str">
        <f>IF(B29="","",SUMIF(Расчёт!$A$6:$A$105,2,Расчёт!$R$6:$R$105))</f>
        <v/>
      </c>
      <c r="F29" s="12" t="str">
        <f>IF(B29="","",SUMIF(Расчёт!$A$6:$A$105,2,Расчёт!$S$6:$S$105))</f>
        <v/>
      </c>
      <c r="G29" s="1"/>
      <c r="H29" s="5" t="str">
        <f>IF(Ввод!$A$33="","",Ввод!$A$33)</f>
        <v/>
      </c>
      <c r="I29" s="5" t="str">
        <f>IF(Ввод!$B$33="","",Ввод!$B$33)</f>
        <v/>
      </c>
      <c r="J29" s="5" t="str">
        <f>IF(Ввод!$D$33="","",Ввод!$D$33)</f>
        <v/>
      </c>
    </row>
    <row r="30" spans="1:10">
      <c r="A30" s="11" t="str">
        <f>IF(B30="","",3)</f>
        <v/>
      </c>
      <c r="B30" s="5" t="str">
        <f>IFERROR(INDEX(Расчёт!$B$6:$B$105,MATCH(3,Расчёт!$A$6:$A$105,0)),"")</f>
        <v/>
      </c>
      <c r="C30" s="12" t="str">
        <f>IF(B30="","",SUMIF(Расчёт!$A$6:$A$105,3,Расчёт!$P$6:$P$105))</f>
        <v/>
      </c>
      <c r="D30" s="7" t="str">
        <f>IF(B30="","",SUMIF(Расчёт!$A$6:$A$105,3,Расчёт!$Q$6:$Q$105))</f>
        <v/>
      </c>
      <c r="E30" s="7" t="str">
        <f>IF(B30="","",SUMIF(Расчёт!$A$6:$A$105,3,Расчёт!$R$6:$R$105))</f>
        <v/>
      </c>
      <c r="F30" s="12" t="str">
        <f>IF(B30="","",SUMIF(Расчёт!$A$6:$A$105,3,Расчёт!$S$6:$S$105))</f>
        <v/>
      </c>
      <c r="G30" s="1"/>
      <c r="H30" s="5" t="str">
        <f>IF(Ввод!$A$34="","",Ввод!$A$34)</f>
        <v/>
      </c>
      <c r="I30" s="5" t="str">
        <f>IF(Ввод!$B$34="","",Ввод!$B$34)</f>
        <v/>
      </c>
      <c r="J30" s="5" t="str">
        <f>IF(Ввод!$D$34="","",Ввод!$D$34)</f>
        <v/>
      </c>
    </row>
    <row r="31" spans="1:10">
      <c r="A31" s="11" t="str">
        <f>IF(B31="","",4)</f>
        <v/>
      </c>
      <c r="B31" s="5" t="str">
        <f>IFERROR(INDEX(Расчёт!$B$6:$B$105,MATCH(4,Расчёт!$A$6:$A$105,0)),"")</f>
        <v/>
      </c>
      <c r="C31" s="12" t="str">
        <f>IF(B31="","",SUMIF(Расчёт!$A$6:$A$105,4,Расчёт!$P$6:$P$105))</f>
        <v/>
      </c>
      <c r="D31" s="7" t="str">
        <f>IF(B31="","",SUMIF(Расчёт!$A$6:$A$105,4,Расчёт!$Q$6:$Q$105))</f>
        <v/>
      </c>
      <c r="E31" s="7" t="str">
        <f>IF(B31="","",SUMIF(Расчёт!$A$6:$A$105,4,Расчёт!$R$6:$R$105))</f>
        <v/>
      </c>
      <c r="F31" s="12" t="str">
        <f>IF(B31="","",SUMIF(Расчёт!$A$6:$A$105,4,Расчёт!$S$6:$S$105))</f>
        <v/>
      </c>
      <c r="G31" s="1"/>
      <c r="H31" s="5" t="str">
        <f>IF(Ввод!$A$35="","",Ввод!$A$35)</f>
        <v/>
      </c>
      <c r="I31" s="5" t="str">
        <f>IF(Ввод!$B$35="","",Ввод!$B$35)</f>
        <v/>
      </c>
      <c r="J31" s="5" t="str">
        <f>IF(Ввод!$D$35="","",Ввод!$D$35)</f>
        <v/>
      </c>
    </row>
    <row r="32" spans="1:10">
      <c r="A32" s="11" t="str">
        <f>IF(B32="","",5)</f>
        <v/>
      </c>
      <c r="B32" s="5" t="str">
        <f>IFERROR(INDEX(Расчёт!$B$6:$B$105,MATCH(5,Расчёт!$A$6:$A$105,0)),"")</f>
        <v/>
      </c>
      <c r="C32" s="12" t="str">
        <f>IF(B32="","",SUMIF(Расчёт!$A$6:$A$105,5,Расчёт!$P$6:$P$105))</f>
        <v/>
      </c>
      <c r="D32" s="7" t="str">
        <f>IF(B32="","",SUMIF(Расчёт!$A$6:$A$105,5,Расчёт!$Q$6:$Q$105))</f>
        <v/>
      </c>
      <c r="E32" s="7" t="str">
        <f>IF(B32="","",SUMIF(Расчёт!$A$6:$A$105,5,Расчёт!$R$6:$R$105))</f>
        <v/>
      </c>
      <c r="F32" s="12" t="str">
        <f>IF(B32="","",SUMIF(Расчёт!$A$6:$A$105,5,Расчёт!$S$6:$S$105))</f>
        <v/>
      </c>
      <c r="G32" s="1"/>
      <c r="H32" s="5" t="str">
        <f>IF(Ввод!$A$36="","",Ввод!$A$36)</f>
        <v/>
      </c>
      <c r="I32" s="5" t="str">
        <f>IF(Ввод!$B$36="","",Ввод!$B$36)</f>
        <v/>
      </c>
      <c r="J32" s="5" t="str">
        <f>IF(Ввод!$D$36="","",Ввод!$D$36)</f>
        <v/>
      </c>
    </row>
    <row r="33" spans="1:10">
      <c r="A33" s="11" t="str">
        <f>IF(B33="","",6)</f>
        <v/>
      </c>
      <c r="B33" s="5" t="str">
        <f>IFERROR(INDEX(Расчёт!$B$6:$B$105,MATCH(6,Расчёт!$A$6:$A$105,0)),"")</f>
        <v/>
      </c>
      <c r="C33" s="12" t="str">
        <f>IF(B33="","",SUMIF(Расчёт!$A$6:$A$105,6,Расчёт!$P$6:$P$105))</f>
        <v/>
      </c>
      <c r="D33" s="7" t="str">
        <f>IF(B33="","",SUMIF(Расчёт!$A$6:$A$105,6,Расчёт!$Q$6:$Q$105))</f>
        <v/>
      </c>
      <c r="E33" s="7" t="str">
        <f>IF(B33="","",SUMIF(Расчёт!$A$6:$A$105,6,Расчёт!$R$6:$R$105))</f>
        <v/>
      </c>
      <c r="F33" s="12" t="str">
        <f>IF(B33="","",SUMIF(Расчёт!$A$6:$A$105,6,Расчёт!$S$6:$S$105))</f>
        <v/>
      </c>
      <c r="G33" s="1"/>
      <c r="H33" s="5" t="str">
        <f>IF(Ввод!$A$37="","",Ввод!$A$37)</f>
        <v/>
      </c>
      <c r="I33" s="5" t="str">
        <f>IF(Ввод!$B$37="","",Ввод!$B$37)</f>
        <v/>
      </c>
      <c r="J33" s="5" t="str">
        <f>IF(Ввод!$D$37="","",Ввод!$D$37)</f>
        <v/>
      </c>
    </row>
    <row r="34" spans="1:10">
      <c r="A34" s="11" t="str">
        <f>IF(B34="","",7)</f>
        <v/>
      </c>
      <c r="B34" s="5" t="str">
        <f>IFERROR(INDEX(Расчёт!$B$6:$B$105,MATCH(7,Расчёт!$A$6:$A$105,0)),"")</f>
        <v/>
      </c>
      <c r="C34" s="12" t="str">
        <f>IF(B34="","",SUMIF(Расчёт!$A$6:$A$105,7,Расчёт!$P$6:$P$105))</f>
        <v/>
      </c>
      <c r="D34" s="7" t="str">
        <f>IF(B34="","",SUMIF(Расчёт!$A$6:$A$105,7,Расчёт!$Q$6:$Q$105))</f>
        <v/>
      </c>
      <c r="E34" s="7" t="str">
        <f>IF(B34="","",SUMIF(Расчёт!$A$6:$A$105,7,Расчёт!$R$6:$R$105))</f>
        <v/>
      </c>
      <c r="F34" s="12" t="str">
        <f>IF(B34="","",SUMIF(Расчёт!$A$6:$A$105,7,Расчёт!$S$6:$S$105))</f>
        <v/>
      </c>
      <c r="G34" s="1"/>
      <c r="H34" s="5" t="str">
        <f>IF(Ввод!$A$38="","",Ввод!$A$38)</f>
        <v/>
      </c>
      <c r="I34" s="5" t="str">
        <f>IF(Ввод!$B$38="","",Ввод!$B$38)</f>
        <v/>
      </c>
      <c r="J34" s="5" t="str">
        <f>IF(Ввод!$D$38="","",Ввод!$D$38)</f>
        <v/>
      </c>
    </row>
    <row r="35" spans="1:10">
      <c r="A35" s="11" t="str">
        <f>IF(B35="","",8)</f>
        <v/>
      </c>
      <c r="B35" s="5" t="str">
        <f>IFERROR(INDEX(Расчёт!$B$6:$B$105,MATCH(8,Расчёт!$A$6:$A$105,0)),"")</f>
        <v/>
      </c>
      <c r="C35" s="12" t="str">
        <f>IF(B35="","",SUMIF(Расчёт!$A$6:$A$105,8,Расчёт!$P$6:$P$105))</f>
        <v/>
      </c>
      <c r="D35" s="7" t="str">
        <f>IF(B35="","",SUMIF(Расчёт!$A$6:$A$105,8,Расчёт!$Q$6:$Q$105))</f>
        <v/>
      </c>
      <c r="E35" s="7" t="str">
        <f>IF(B35="","",SUMIF(Расчёт!$A$6:$A$105,8,Расчёт!$R$6:$R$105))</f>
        <v/>
      </c>
      <c r="F35" s="12" t="str">
        <f>IF(B35="","",SUMIF(Расчёт!$A$6:$A$105,8,Расчёт!$S$6:$S$105))</f>
        <v/>
      </c>
      <c r="G35" s="1"/>
      <c r="H35" s="5" t="str">
        <f>IF(Ввод!$A$39="","",Ввод!$A$39)</f>
        <v/>
      </c>
      <c r="I35" s="5" t="str">
        <f>IF(Ввод!$B$39="","",Ввод!$B$39)</f>
        <v/>
      </c>
      <c r="J35" s="5" t="str">
        <f>IF(Ввод!$D$39="","",Ввод!$D$39)</f>
        <v/>
      </c>
    </row>
    <row r="36" spans="1:10">
      <c r="A36" s="11" t="str">
        <f>IF(B36="","",9)</f>
        <v/>
      </c>
      <c r="B36" s="5" t="str">
        <f>IFERROR(INDEX(Расчёт!$B$6:$B$105,MATCH(9,Расчёт!$A$6:$A$105,0)),"")</f>
        <v/>
      </c>
      <c r="C36" s="12" t="str">
        <f>IF(B36="","",SUMIF(Расчёт!$A$6:$A$105,9,Расчёт!$P$6:$P$105))</f>
        <v/>
      </c>
      <c r="D36" s="7" t="str">
        <f>IF(B36="","",SUMIF(Расчёт!$A$6:$A$105,9,Расчёт!$Q$6:$Q$105))</f>
        <v/>
      </c>
      <c r="E36" s="7" t="str">
        <f>IF(B36="","",SUMIF(Расчёт!$A$6:$A$105,9,Расчёт!$R$6:$R$105))</f>
        <v/>
      </c>
      <c r="F36" s="12" t="str">
        <f>IF(B36="","",SUMIF(Расчёт!$A$6:$A$105,9,Расчёт!$S$6:$S$105))</f>
        <v/>
      </c>
      <c r="G36" s="1"/>
      <c r="H36" s="1"/>
      <c r="I36" s="1"/>
      <c r="J36" s="1"/>
    </row>
    <row r="37" spans="1:10">
      <c r="A37" s="11" t="str">
        <f>IF(B37="","",10)</f>
        <v/>
      </c>
      <c r="B37" s="5" t="str">
        <f>IFERROR(INDEX(Расчёт!$B$6:$B$105,MATCH(10,Расчёт!$A$6:$A$105,0)),"")</f>
        <v/>
      </c>
      <c r="C37" s="12" t="str">
        <f>IF(B37="","",SUMIF(Расчёт!$A$6:$A$105,10,Расчёт!$P$6:$P$105))</f>
        <v/>
      </c>
      <c r="D37" s="7" t="str">
        <f>IF(B37="","",SUMIF(Расчёт!$A$6:$A$105,10,Расчёт!$Q$6:$Q$105))</f>
        <v/>
      </c>
      <c r="E37" s="7" t="str">
        <f>IF(B37="","",SUMIF(Расчёт!$A$6:$A$105,10,Расчёт!$R$6:$R$105))</f>
        <v/>
      </c>
      <c r="F37" s="12" t="str">
        <f>IF(B37="","",SUMIF(Расчёт!$A$6:$A$105,10,Расчёт!$S$6:$S$105))</f>
        <v/>
      </c>
      <c r="G37" s="1"/>
      <c r="H37" s="1"/>
      <c r="I37" s="1"/>
      <c r="J37" s="1"/>
    </row>
    <row r="38" spans="1:10">
      <c r="A38" s="11" t="str">
        <f>IF(B38="","",11)</f>
        <v/>
      </c>
      <c r="B38" s="5" t="str">
        <f>IFERROR(INDEX(Расчёт!$B$6:$B$105,MATCH(11,Расчёт!$A$6:$A$105,0)),"")</f>
        <v/>
      </c>
      <c r="C38" s="12" t="str">
        <f>IF(B38="","",SUMIF(Расчёт!$A$6:$A$105,11,Расчёт!$P$6:$P$105))</f>
        <v/>
      </c>
      <c r="D38" s="7" t="str">
        <f>IF(B38="","",SUMIF(Расчёт!$A$6:$A$105,11,Расчёт!$Q$6:$Q$105))</f>
        <v/>
      </c>
      <c r="E38" s="7" t="str">
        <f>IF(B38="","",SUMIF(Расчёт!$A$6:$A$105,11,Расчёт!$R$6:$R$105))</f>
        <v/>
      </c>
      <c r="F38" s="12" t="str">
        <f>IF(B38="","",SUMIF(Расчёт!$A$6:$A$105,11,Расчёт!$S$6:$S$105))</f>
        <v/>
      </c>
      <c r="G38" s="1"/>
      <c r="H38" s="18" t="s">
        <v>47</v>
      </c>
      <c r="I38" s="18" t="s">
        <v>48</v>
      </c>
      <c r="J38" s="18" t="s">
        <v>49</v>
      </c>
    </row>
    <row r="39" spans="1:10">
      <c r="A39" s="11" t="str">
        <f>IF(B39="","",12)</f>
        <v/>
      </c>
      <c r="B39" s="5" t="str">
        <f>IFERROR(INDEX(Расчёт!$B$6:$B$105,MATCH(12,Расчёт!$A$6:$A$105,0)),"")</f>
        <v/>
      </c>
      <c r="C39" s="12" t="str">
        <f>IF(B39="","",SUMIF(Расчёт!$A$6:$A$105,12,Расчёт!$P$6:$P$105))</f>
        <v/>
      </c>
      <c r="D39" s="7" t="str">
        <f>IF(B39="","",SUMIF(Расчёт!$A$6:$A$105,12,Расчёт!$Q$6:$Q$105))</f>
        <v/>
      </c>
      <c r="E39" s="7" t="str">
        <f>IF(B39="","",SUMIF(Расчёт!$A$6:$A$105,12,Расчёт!$R$6:$R$105))</f>
        <v/>
      </c>
      <c r="F39" s="12" t="str">
        <f>IF(B39="","",SUMIF(Расчёт!$A$6:$A$105,12,Расчёт!$S$6:$S$105))</f>
        <v/>
      </c>
      <c r="G39" s="1"/>
      <c r="H39" s="20" t="s">
        <v>50</v>
      </c>
      <c r="I39" s="13">
        <f>SUM(Расчёт!$F$6:$F$105)</f>
        <v>0</v>
      </c>
      <c r="J39" s="5" t="s">
        <v>51</v>
      </c>
    </row>
    <row r="40" spans="1:10" ht="25.2">
      <c r="A40" s="11" t="str">
        <f>IF(B40="","",13)</f>
        <v/>
      </c>
      <c r="B40" s="5" t="str">
        <f>IFERROR(INDEX(Расчёт!$B$6:$B$105,MATCH(13,Расчёт!$A$6:$A$105,0)),"")</f>
        <v/>
      </c>
      <c r="C40" s="12" t="str">
        <f>IF(B40="","",SUMIF(Расчёт!$A$6:$A$105,13,Расчёт!$P$6:$P$105))</f>
        <v/>
      </c>
      <c r="D40" s="7" t="str">
        <f>IF(B40="","",SUMIF(Расчёт!$A$6:$A$105,13,Расчёт!$Q$6:$Q$105))</f>
        <v/>
      </c>
      <c r="E40" s="7" t="str">
        <f>IF(B40="","",SUMIF(Расчёт!$A$6:$A$105,13,Расчёт!$R$6:$R$105))</f>
        <v/>
      </c>
      <c r="F40" s="12" t="str">
        <f>IF(B40="","",SUMIF(Расчёт!$A$6:$A$105,13,Расчёт!$S$6:$S$105))</f>
        <v/>
      </c>
      <c r="G40" s="1"/>
      <c r="H40" s="20" t="s">
        <v>52</v>
      </c>
      <c r="I40" s="13">
        <f>SUM(Расчёт!$P$6:$P$105)</f>
        <v>0</v>
      </c>
      <c r="J40" s="5" t="s">
        <v>53</v>
      </c>
    </row>
    <row r="41" spans="1:10" ht="25.2">
      <c r="A41" s="11" t="str">
        <f>IF(B41="","",14)</f>
        <v/>
      </c>
      <c r="B41" s="5" t="str">
        <f>IFERROR(INDEX(Расчёт!$B$6:$B$105,MATCH(14,Расчёт!$A$6:$A$105,0)),"")</f>
        <v/>
      </c>
      <c r="C41" s="12" t="str">
        <f>IF(B41="","",SUMIF(Расчёт!$A$6:$A$105,14,Расчёт!$P$6:$P$105))</f>
        <v/>
      </c>
      <c r="D41" s="7" t="str">
        <f>IF(B41="","",SUMIF(Расчёт!$A$6:$A$105,14,Расчёт!$Q$6:$Q$105))</f>
        <v/>
      </c>
      <c r="E41" s="7" t="str">
        <f>IF(B41="","",SUMIF(Расчёт!$A$6:$A$105,14,Расчёт!$R$6:$R$105))</f>
        <v/>
      </c>
      <c r="F41" s="12" t="str">
        <f>IF(B41="","",SUMIF(Расчёт!$A$6:$A$105,14,Расчёт!$S$6:$S$105))</f>
        <v/>
      </c>
      <c r="G41" s="1"/>
      <c r="H41" s="20" t="s">
        <v>54</v>
      </c>
      <c r="I41" s="13">
        <f>SUM(Расчёт!$S$6:$S$105)</f>
        <v>0</v>
      </c>
      <c r="J41" s="5" t="s">
        <v>55</v>
      </c>
    </row>
    <row r="42" spans="1:10" ht="25.2">
      <c r="A42" s="11" t="str">
        <f>IF(B42="","",15)</f>
        <v/>
      </c>
      <c r="B42" s="5" t="str">
        <f>IFERROR(INDEX(Расчёт!$B$6:$B$105,MATCH(15,Расчёт!$A$6:$A$105,0)),"")</f>
        <v/>
      </c>
      <c r="C42" s="12" t="str">
        <f>IF(B42="","",SUMIF(Расчёт!$A$6:$A$105,15,Расчёт!$P$6:$P$105))</f>
        <v/>
      </c>
      <c r="D42" s="7" t="str">
        <f>IF(B42="","",SUMIF(Расчёт!$A$6:$A$105,15,Расчёт!$Q$6:$Q$105))</f>
        <v/>
      </c>
      <c r="E42" s="7" t="str">
        <f>IF(B42="","",SUMIF(Расчёт!$A$6:$A$105,15,Расчёт!$R$6:$R$105))</f>
        <v/>
      </c>
      <c r="F42" s="12" t="str">
        <f>IF(B42="","",SUMIF(Расчёт!$A$6:$A$105,15,Расчёт!$S$6:$S$105))</f>
        <v/>
      </c>
      <c r="G42" s="1"/>
      <c r="H42" s="20" t="s">
        <v>56</v>
      </c>
      <c r="I42" s="14">
        <f>SUM('Внешние затраты'!$I$6:$I$25)</f>
        <v>0</v>
      </c>
      <c r="J42" s="5" t="s">
        <v>57</v>
      </c>
    </row>
    <row r="43" spans="1:10">
      <c r="A43" s="11" t="str">
        <f>IF(B43="","",16)</f>
        <v/>
      </c>
      <c r="B43" s="5" t="str">
        <f>IFERROR(INDEX(Расчёт!$B$6:$B$105,MATCH(16,Расчёт!$A$6:$A$105,0)),"")</f>
        <v/>
      </c>
      <c r="C43" s="12" t="str">
        <f>IF(B43="","",SUMIF(Расчёт!$A$6:$A$105,16,Расчёт!$P$6:$P$105))</f>
        <v/>
      </c>
      <c r="D43" s="7" t="str">
        <f>IF(B43="","",SUMIF(Расчёт!$A$6:$A$105,16,Расчёт!$Q$6:$Q$105))</f>
        <v/>
      </c>
      <c r="E43" s="7" t="str">
        <f>IF(B43="","",SUMIF(Расчёт!$A$6:$A$105,16,Расчёт!$R$6:$R$105))</f>
        <v/>
      </c>
      <c r="F43" s="12" t="str">
        <f>IF(B43="","",SUMIF(Расчёт!$A$6:$A$105,16,Расчёт!$S$6:$S$105))</f>
        <v/>
      </c>
      <c r="G43" s="1"/>
      <c r="H43" s="20" t="s">
        <v>36</v>
      </c>
      <c r="I43" s="15">
        <f>Ввод!$B$10</f>
        <v>0</v>
      </c>
      <c r="J43" s="5" t="s">
        <v>58</v>
      </c>
    </row>
    <row r="44" spans="1:10">
      <c r="A44" s="11" t="str">
        <f>IF(B44="","",17)</f>
        <v/>
      </c>
      <c r="B44" s="5" t="str">
        <f>IFERROR(INDEX(Расчёт!$B$6:$B$105,MATCH(17,Расчёт!$A$6:$A$105,0)),"")</f>
        <v/>
      </c>
      <c r="C44" s="12" t="str">
        <f>IF(B44="","",SUMIF(Расчёт!$A$6:$A$105,17,Расчёт!$P$6:$P$105))</f>
        <v/>
      </c>
      <c r="D44" s="7" t="str">
        <f>IF(B44="","",SUMIF(Расчёт!$A$6:$A$105,17,Расчёт!$Q$6:$Q$105))</f>
        <v/>
      </c>
      <c r="E44" s="7" t="str">
        <f>IF(B44="","",SUMIF(Расчёт!$A$6:$A$105,17,Расчёт!$R$6:$R$105))</f>
        <v/>
      </c>
      <c r="F44" s="12" t="str">
        <f>IF(B44="","",SUMIF(Расчёт!$A$6:$A$105,17,Расчёт!$S$6:$S$105))</f>
        <v/>
      </c>
      <c r="G44" s="1"/>
      <c r="H44" s="20" t="s">
        <v>11</v>
      </c>
      <c r="I44" s="15">
        <f>Ввод!$B$9</f>
        <v>0.2</v>
      </c>
      <c r="J44" s="5" t="s">
        <v>59</v>
      </c>
    </row>
    <row r="45" spans="1:10" ht="25.2">
      <c r="A45" s="11" t="str">
        <f>IF(B45="","",18)</f>
        <v/>
      </c>
      <c r="B45" s="5" t="str">
        <f>IFERROR(INDEX(Расчёт!$B$6:$B$105,MATCH(18,Расчёт!$A$6:$A$105,0)),"")</f>
        <v/>
      </c>
      <c r="C45" s="12" t="str">
        <f>IF(B45="","",SUMIF(Расчёт!$A$6:$A$105,18,Расчёт!$P$6:$P$105))</f>
        <v/>
      </c>
      <c r="D45" s="7" t="str">
        <f>IF(B45="","",SUMIF(Расчёт!$A$6:$A$105,18,Расчёт!$Q$6:$Q$105))</f>
        <v/>
      </c>
      <c r="E45" s="7" t="str">
        <f>IF(B45="","",SUMIF(Расчёт!$A$6:$A$105,18,Расчёт!$R$6:$R$105))</f>
        <v/>
      </c>
      <c r="F45" s="12" t="str">
        <f>IF(B45="","",SUMIF(Расчёт!$A$6:$A$105,18,Расчёт!$S$6:$S$105))</f>
        <v/>
      </c>
      <c r="G45" s="1"/>
      <c r="H45" s="20" t="s">
        <v>60</v>
      </c>
      <c r="I45" s="5">
        <f>Ввод!$B$15</f>
        <v>0</v>
      </c>
      <c r="J45" s="5" t="s">
        <v>61</v>
      </c>
    </row>
    <row r="46" spans="1:10">
      <c r="A46" s="11" t="str">
        <f>IF(B46="","",19)</f>
        <v/>
      </c>
      <c r="B46" s="5" t="str">
        <f>IFERROR(INDEX(Расчёт!$B$6:$B$105,MATCH(19,Расчёт!$A$6:$A$105,0)),"")</f>
        <v/>
      </c>
      <c r="C46" s="12" t="str">
        <f>IF(B46="","",SUMIF(Расчёт!$A$6:$A$105,19,Расчёт!$P$6:$P$105))</f>
        <v/>
      </c>
      <c r="D46" s="7" t="str">
        <f>IF(B46="","",SUMIF(Расчёт!$A$6:$A$105,19,Расчёт!$Q$6:$Q$105))</f>
        <v/>
      </c>
      <c r="E46" s="7" t="str">
        <f>IF(B46="","",SUMIF(Расчёт!$A$6:$A$105,19,Расчёт!$R$6:$R$105))</f>
        <v/>
      </c>
      <c r="F46" s="12" t="str">
        <f>IF(B46="","",SUMIF(Расчёт!$A$6:$A$105,19,Расчёт!$S$6:$S$105))</f>
        <v/>
      </c>
      <c r="G46" s="1"/>
      <c r="H46" s="1"/>
      <c r="I46" s="1"/>
      <c r="J46" s="1"/>
    </row>
    <row r="47" spans="1:10">
      <c r="A47" s="11" t="str">
        <f>IF(B47="","",20)</f>
        <v/>
      </c>
      <c r="B47" s="5" t="str">
        <f>IFERROR(INDEX(Расчёт!$B$6:$B$105,MATCH(20,Расчёт!$A$6:$A$105,0)),"")</f>
        <v/>
      </c>
      <c r="C47" s="12" t="str">
        <f>IF(B47="","",SUMIF(Расчёт!$A$6:$A$105,20,Расчёт!$P$6:$P$105))</f>
        <v/>
      </c>
      <c r="D47" s="7" t="str">
        <f>IF(B47="","",SUMIF(Расчёт!$A$6:$A$105,20,Расчёт!$Q$6:$Q$105))</f>
        <v/>
      </c>
      <c r="E47" s="7" t="str">
        <f>IF(B47="","",SUMIF(Расчёт!$A$6:$A$105,20,Расчёт!$R$6:$R$105))</f>
        <v/>
      </c>
      <c r="F47" s="12" t="str">
        <f>IF(B47="","",SUMIF(Расчёт!$A$6:$A$105,20,Расчёт!$S$6:$S$105))</f>
        <v/>
      </c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2.95" customHeight="1">
      <c r="A50" s="38" t="s">
        <v>62</v>
      </c>
      <c r="B50" s="39"/>
      <c r="C50" s="39"/>
      <c r="D50" s="39"/>
      <c r="E50" s="39"/>
      <c r="F50" s="39"/>
      <c r="G50" s="1"/>
      <c r="H50" s="1"/>
      <c r="I50" s="1"/>
      <c r="J50" s="1"/>
    </row>
    <row r="51" spans="1:10">
      <c r="A51" s="18" t="s">
        <v>63</v>
      </c>
      <c r="B51" s="18" t="s">
        <v>64</v>
      </c>
      <c r="C51" s="18" t="s">
        <v>41</v>
      </c>
      <c r="D51" s="18" t="s">
        <v>42</v>
      </c>
      <c r="E51" s="18" t="s">
        <v>16</v>
      </c>
      <c r="F51" s="18" t="s">
        <v>65</v>
      </c>
      <c r="G51" s="1"/>
      <c r="H51" s="1"/>
      <c r="I51" s="1"/>
      <c r="J51" s="1"/>
    </row>
    <row r="52" spans="1:10">
      <c r="A52" s="11" t="str">
        <f>'Справочник ролей'!$A$2</f>
        <v>6034</v>
      </c>
      <c r="B52" s="5" t="str">
        <f>'Справочник ролей'!$C$2</f>
        <v>Тимлид-Архитектор ИБ | #6034</v>
      </c>
      <c r="C52" s="12">
        <f>SUMIF(Расчёт!$K$6:$K$105,A52,Расчёт!$P$6:$P$105)</f>
        <v>0</v>
      </c>
      <c r="D52" s="7">
        <f>SUMIF(Расчёт!$K$6:$K$105,A52,Расчёт!$Q$6:$Q$105)</f>
        <v>0</v>
      </c>
      <c r="E52" s="7">
        <f>SUMIF(Расчёт!$K$6:$K$105,A52,Расчёт!$R$6:$R$105)</f>
        <v>0</v>
      </c>
      <c r="F52" s="8">
        <f>IFERROR(C52/SUM(Расчёт!$P$6:$P$105),0)</f>
        <v>0</v>
      </c>
      <c r="G52" s="1"/>
      <c r="H52" s="1"/>
      <c r="I52" s="1"/>
      <c r="J52" s="1"/>
    </row>
    <row r="53" spans="1:10">
      <c r="A53" s="11" t="str">
        <f>'Справочник ролей'!$A$3</f>
        <v>6035</v>
      </c>
      <c r="B53" s="5" t="str">
        <f>'Справочник ролей'!$C$3</f>
        <v>Ведущий инженер ИБ | #6035</v>
      </c>
      <c r="C53" s="12">
        <f>SUMIF(Расчёт!$K$6:$K$105,A53,Расчёт!$P$6:$P$105)</f>
        <v>0</v>
      </c>
      <c r="D53" s="7">
        <f>SUMIF(Расчёт!$K$6:$K$105,A53,Расчёт!$Q$6:$Q$105)</f>
        <v>0</v>
      </c>
      <c r="E53" s="7">
        <f>SUMIF(Расчёт!$K$6:$K$105,A53,Расчёт!$R$6:$R$105)</f>
        <v>0</v>
      </c>
      <c r="F53" s="8">
        <f>IFERROR(C53/SUM(Расчёт!$P$6:$P$105),0)</f>
        <v>0</v>
      </c>
      <c r="G53" s="1"/>
      <c r="H53" s="1"/>
      <c r="I53" s="1"/>
      <c r="J53" s="1"/>
    </row>
    <row r="54" spans="1:10">
      <c r="A54" s="11" t="str">
        <f>'Справочник ролей'!$A$4</f>
        <v>6036</v>
      </c>
      <c r="B54" s="5" t="str">
        <f>'Справочник ролей'!$C$4</f>
        <v>Пентестер | #6036</v>
      </c>
      <c r="C54" s="12">
        <f>SUMIF(Расчёт!$K$6:$K$105,A54,Расчёт!$P$6:$P$105)</f>
        <v>0</v>
      </c>
      <c r="D54" s="7">
        <f>SUMIF(Расчёт!$K$6:$K$105,A54,Расчёт!$Q$6:$Q$105)</f>
        <v>0</v>
      </c>
      <c r="E54" s="7">
        <f>SUMIF(Расчёт!$K$6:$K$105,A54,Расчёт!$R$6:$R$105)</f>
        <v>0</v>
      </c>
      <c r="F54" s="8">
        <f>IFERROR(C54/SUM(Расчёт!$P$6:$P$105),0)</f>
        <v>0</v>
      </c>
      <c r="G54" s="1"/>
      <c r="H54" s="1"/>
      <c r="I54" s="1"/>
      <c r="J54" s="1"/>
    </row>
    <row r="55" spans="1:10">
      <c r="A55" s="11" t="str">
        <f>'Справочник ролей'!$A$5</f>
        <v>6037</v>
      </c>
      <c r="B55" s="5" t="str">
        <f>'Справочник ролей'!$C$5</f>
        <v>Ведущий Архитектор ИБ | #6037</v>
      </c>
      <c r="C55" s="12">
        <f>SUMIF(Расчёт!$K$6:$K$105,A55,Расчёт!$P$6:$P$105)</f>
        <v>0</v>
      </c>
      <c r="D55" s="7">
        <f>SUMIF(Расчёт!$K$6:$K$105,A55,Расчёт!$Q$6:$Q$105)</f>
        <v>0</v>
      </c>
      <c r="E55" s="7">
        <f>SUMIF(Расчёт!$K$6:$K$105,A55,Расчёт!$R$6:$R$105)</f>
        <v>0</v>
      </c>
      <c r="F55" s="8">
        <f>IFERROR(C55/SUM(Расчёт!$P$6:$P$105),0)</f>
        <v>0</v>
      </c>
      <c r="G55" s="1"/>
      <c r="H55" s="1"/>
      <c r="I55" s="1"/>
      <c r="J55" s="1"/>
    </row>
    <row r="56" spans="1:10">
      <c r="A56" s="11" t="str">
        <f>'Справочник ролей'!$A$6</f>
        <v>6039</v>
      </c>
      <c r="B56" s="5" t="str">
        <f>'Справочник ролей'!$C$6</f>
        <v>Архитектор ИБ | #6039</v>
      </c>
      <c r="C56" s="12">
        <f>SUMIF(Расчёт!$K$6:$K$105,A56,Расчёт!$P$6:$P$105)</f>
        <v>0</v>
      </c>
      <c r="D56" s="7">
        <f>SUMIF(Расчёт!$K$6:$K$105,A56,Расчёт!$Q$6:$Q$105)</f>
        <v>0</v>
      </c>
      <c r="E56" s="7">
        <f>SUMIF(Расчёт!$K$6:$K$105,A56,Расчёт!$R$6:$R$105)</f>
        <v>0</v>
      </c>
      <c r="F56" s="8">
        <f>IFERROR(C56/SUM(Расчёт!$P$6:$P$105),0)</f>
        <v>0</v>
      </c>
      <c r="G56" s="1"/>
      <c r="H56" s="1"/>
      <c r="I56" s="1"/>
      <c r="J56" s="1"/>
    </row>
    <row r="57" spans="1:10" ht="25.2">
      <c r="A57" s="11" t="str">
        <f>'Справочник ролей'!$A$7</f>
        <v>472</v>
      </c>
      <c r="B57" s="5" t="str">
        <f>'Справочник ролей'!$C$7</f>
        <v>Руководитель дежурной смены | #472</v>
      </c>
      <c r="C57" s="12">
        <f>SUMIF(Расчёт!$K$6:$K$105,A57,Расчёт!$P$6:$P$105)</f>
        <v>0</v>
      </c>
      <c r="D57" s="7">
        <f>SUMIF(Расчёт!$K$6:$K$105,A57,Расчёт!$Q$6:$Q$105)</f>
        <v>0</v>
      </c>
      <c r="E57" s="7">
        <f>SUMIF(Расчёт!$K$6:$K$105,A57,Расчёт!$R$6:$R$105)</f>
        <v>0</v>
      </c>
      <c r="F57" s="8">
        <f>IFERROR(C57/SUM(Расчёт!$P$6:$P$105),0)</f>
        <v>0</v>
      </c>
      <c r="G57" s="1"/>
      <c r="H57" s="1"/>
      <c r="I57" s="1"/>
      <c r="J57" s="1"/>
    </row>
    <row r="58" spans="1:10" ht="25.2">
      <c r="A58" s="11" t="str">
        <f>'Справочник ролей'!$A$8</f>
        <v>473</v>
      </c>
      <c r="B58" s="5" t="str">
        <f>'Справочник ролей'!$C$8</f>
        <v>Супервизор - Руководитель группы | #473</v>
      </c>
      <c r="C58" s="12">
        <f>SUMIF(Расчёт!$K$6:$K$105,A58,Расчёт!$P$6:$P$105)</f>
        <v>0</v>
      </c>
      <c r="D58" s="7">
        <f>SUMIF(Расчёт!$K$6:$K$105,A58,Расчёт!$Q$6:$Q$105)</f>
        <v>0</v>
      </c>
      <c r="E58" s="7">
        <f>SUMIF(Расчёт!$K$6:$K$105,A58,Расчёт!$R$6:$R$105)</f>
        <v>0</v>
      </c>
      <c r="F58" s="8">
        <f>IFERROR(C58/SUM(Расчёт!$P$6:$P$105),0)</f>
        <v>0</v>
      </c>
      <c r="G58" s="1"/>
      <c r="H58" s="1"/>
      <c r="I58" s="1"/>
      <c r="J58" s="1"/>
    </row>
    <row r="59" spans="1:10" ht="25.2">
      <c r="A59" s="11" t="str">
        <f>'Справочник ролей'!$A$9</f>
        <v>474</v>
      </c>
      <c r="B59" s="5" t="str">
        <f>'Справочник ролей'!$C$9</f>
        <v>L1 Инженер дежурной смены | #474</v>
      </c>
      <c r="C59" s="12">
        <f>SUMIF(Расчёт!$K$6:$K$105,A59,Расчёт!$P$6:$P$105)</f>
        <v>0</v>
      </c>
      <c r="D59" s="7">
        <f>SUMIF(Расчёт!$K$6:$K$105,A59,Расчёт!$Q$6:$Q$105)</f>
        <v>0</v>
      </c>
      <c r="E59" s="7">
        <f>SUMIF(Расчёт!$K$6:$K$105,A59,Расчёт!$R$6:$R$105)</f>
        <v>0</v>
      </c>
      <c r="F59" s="8">
        <f>IFERROR(C59/SUM(Расчёт!$P$6:$P$105),0)</f>
        <v>0</v>
      </c>
      <c r="G59" s="1"/>
      <c r="H59" s="1"/>
      <c r="I59" s="1"/>
      <c r="J59" s="1"/>
    </row>
    <row r="60" spans="1:10" ht="25.2">
      <c r="A60" s="11" t="str">
        <f>'Справочник ролей'!$A$10</f>
        <v>475</v>
      </c>
      <c r="B60" s="5" t="str">
        <f>'Справочник ролей'!$C$10</f>
        <v>L2 Инженер технической поддержки | #475</v>
      </c>
      <c r="C60" s="12">
        <f>SUMIF(Расчёт!$K$6:$K$105,A60,Расчёт!$P$6:$P$105)</f>
        <v>0</v>
      </c>
      <c r="D60" s="7">
        <f>SUMIF(Расчёт!$K$6:$K$105,A60,Расчёт!$Q$6:$Q$105)</f>
        <v>0</v>
      </c>
      <c r="E60" s="7">
        <f>SUMIF(Расчёт!$K$6:$K$105,A60,Расчёт!$R$6:$R$105)</f>
        <v>0</v>
      </c>
      <c r="F60" s="8">
        <f>IFERROR(C60/SUM(Расчёт!$P$6:$P$105),0)</f>
        <v>0</v>
      </c>
      <c r="G60" s="1"/>
      <c r="H60" s="1"/>
      <c r="I60" s="1"/>
      <c r="J60" s="1"/>
    </row>
    <row r="61" spans="1:10">
      <c r="A61" s="11" t="str">
        <f>'Справочник ролей'!$A$11</f>
        <v>476</v>
      </c>
      <c r="B61" s="5" t="str">
        <f>'Справочник ролей'!$C$11</f>
        <v>Руководитель 3 линии | #476</v>
      </c>
      <c r="C61" s="12">
        <f>SUMIF(Расчёт!$K$6:$K$105,A61,Расчёт!$P$6:$P$105)</f>
        <v>0</v>
      </c>
      <c r="D61" s="7">
        <f>SUMIF(Расчёт!$K$6:$K$105,A61,Расчёт!$Q$6:$Q$105)</f>
        <v>0</v>
      </c>
      <c r="E61" s="7">
        <f>SUMIF(Расчёт!$K$6:$K$105,A61,Расчёт!$R$6:$R$105)</f>
        <v>0</v>
      </c>
      <c r="F61" s="8">
        <f>IFERROR(C61/SUM(Расчёт!$P$6:$P$105),0)</f>
        <v>0</v>
      </c>
      <c r="G61" s="1"/>
      <c r="H61" s="1"/>
      <c r="I61" s="1"/>
      <c r="J61" s="1"/>
    </row>
    <row r="62" spans="1:10" ht="25.2">
      <c r="A62" s="11" t="str">
        <f>'Справочник ролей'!$A$12</f>
        <v>477</v>
      </c>
      <c r="B62" s="5" t="str">
        <f>'Справочник ролей'!$C$12</f>
        <v>Тимлид - Руководитель группы | #477</v>
      </c>
      <c r="C62" s="12">
        <f>SUMIF(Расчёт!$K$6:$K$105,A62,Расчёт!$P$6:$P$105)</f>
        <v>0</v>
      </c>
      <c r="D62" s="7">
        <f>SUMIF(Расчёт!$K$6:$K$105,A62,Расчёт!$Q$6:$Q$105)</f>
        <v>0</v>
      </c>
      <c r="E62" s="7">
        <f>SUMIF(Расчёт!$K$6:$K$105,A62,Расчёт!$R$6:$R$105)</f>
        <v>0</v>
      </c>
      <c r="F62" s="8">
        <f>IFERROR(C62/SUM(Расчёт!$P$6:$P$105),0)</f>
        <v>0</v>
      </c>
      <c r="G62" s="1"/>
      <c r="H62" s="1"/>
      <c r="I62" s="1"/>
      <c r="J62" s="1"/>
    </row>
    <row r="63" spans="1:10">
      <c r="A63" s="11" t="str">
        <f>'Справочник ролей'!$A$13</f>
        <v>478</v>
      </c>
      <c r="B63" s="5" t="str">
        <f>'Справочник ролей'!$C$13</f>
        <v>L3 Сетевой инженер | #478</v>
      </c>
      <c r="C63" s="12">
        <f>SUMIF(Расчёт!$K$6:$K$105,A63,Расчёт!$P$6:$P$105)</f>
        <v>0</v>
      </c>
      <c r="D63" s="7">
        <f>SUMIF(Расчёт!$K$6:$K$105,A63,Расчёт!$Q$6:$Q$105)</f>
        <v>0</v>
      </c>
      <c r="E63" s="7">
        <f>SUMIF(Расчёт!$K$6:$K$105,A63,Расчёт!$R$6:$R$105)</f>
        <v>0</v>
      </c>
      <c r="F63" s="8">
        <f>IFERROR(C63/SUM(Расчёт!$P$6:$P$105),0)</f>
        <v>0</v>
      </c>
      <c r="G63" s="1"/>
      <c r="H63" s="1"/>
      <c r="I63" s="1"/>
      <c r="J63" s="1"/>
    </row>
    <row r="64" spans="1:10">
      <c r="A64" s="11" t="str">
        <f>'Справочник ролей'!$A$14</f>
        <v>479</v>
      </c>
      <c r="B64" s="5" t="str">
        <f>'Справочник ролей'!$C$14</f>
        <v>L3 Windows инженер | #479</v>
      </c>
      <c r="C64" s="12">
        <f>SUMIF(Расчёт!$K$6:$K$105,A64,Расчёт!$P$6:$P$105)</f>
        <v>0</v>
      </c>
      <c r="D64" s="7">
        <f>SUMIF(Расчёт!$K$6:$K$105,A64,Расчёт!$Q$6:$Q$105)</f>
        <v>0</v>
      </c>
      <c r="E64" s="7">
        <f>SUMIF(Расчёт!$K$6:$K$105,A64,Расчёт!$R$6:$R$105)</f>
        <v>0</v>
      </c>
      <c r="F64" s="8">
        <f>IFERROR(C64/SUM(Расчёт!$P$6:$P$105),0)</f>
        <v>0</v>
      </c>
      <c r="G64" s="1"/>
      <c r="H64" s="1"/>
      <c r="I64" s="1"/>
      <c r="J64" s="1"/>
    </row>
    <row r="65" spans="1:10">
      <c r="A65" s="11" t="str">
        <f>'Справочник ролей'!$A$15</f>
        <v>480</v>
      </c>
      <c r="B65" s="5" t="str">
        <f>'Справочник ролей'!$C$15</f>
        <v>L3 Архитектор | #480</v>
      </c>
      <c r="C65" s="12">
        <f>SUMIF(Расчёт!$K$6:$K$105,A65,Расчёт!$P$6:$P$105)</f>
        <v>0</v>
      </c>
      <c r="D65" s="7">
        <f>SUMIF(Расчёт!$K$6:$K$105,A65,Расчёт!$Q$6:$Q$105)</f>
        <v>0</v>
      </c>
      <c r="E65" s="7">
        <f>SUMIF(Расчёт!$K$6:$K$105,A65,Расчёт!$R$6:$R$105)</f>
        <v>0</v>
      </c>
      <c r="F65" s="8">
        <f>IFERROR(C65/SUM(Расчёт!$P$6:$P$105),0)</f>
        <v>0</v>
      </c>
      <c r="G65" s="1"/>
      <c r="H65" s="1"/>
      <c r="I65" s="1"/>
      <c r="J65" s="1"/>
    </row>
    <row r="66" spans="1:10">
      <c r="A66" s="11" t="str">
        <f>'Справочник ролей'!$A$16</f>
        <v>1202</v>
      </c>
      <c r="B66" s="5" t="str">
        <f>'Справочник ролей'!$C$16</f>
        <v>L3 DevOps-инженер | #1202</v>
      </c>
      <c r="C66" s="12">
        <f>SUMIF(Расчёт!$K$6:$K$105,A66,Расчёт!$P$6:$P$105)</f>
        <v>0</v>
      </c>
      <c r="D66" s="7">
        <f>SUMIF(Расчёт!$K$6:$K$105,A66,Расчёт!$Q$6:$Q$105)</f>
        <v>0</v>
      </c>
      <c r="E66" s="7">
        <f>SUMIF(Расчёт!$K$6:$K$105,A66,Расчёт!$R$6:$R$105)</f>
        <v>0</v>
      </c>
      <c r="F66" s="8">
        <f>IFERROR(C66/SUM(Расчёт!$P$6:$P$105),0)</f>
        <v>0</v>
      </c>
      <c r="G66" s="1"/>
      <c r="H66" s="1"/>
      <c r="I66" s="1"/>
      <c r="J66" s="1"/>
    </row>
    <row r="67" spans="1:10" ht="25.2">
      <c r="A67" s="11" t="str">
        <f>'Справочник ролей'!$A$17</f>
        <v>1204</v>
      </c>
      <c r="B67" s="5" t="str">
        <f>'Справочник ролей'!$C$17</f>
        <v>Руководитель проектного офиса | #1204</v>
      </c>
      <c r="C67" s="12">
        <f>SUMIF(Расчёт!$K$6:$K$105,A67,Расчёт!$P$6:$P$105)</f>
        <v>0</v>
      </c>
      <c r="D67" s="7">
        <f>SUMIF(Расчёт!$K$6:$K$105,A67,Расчёт!$Q$6:$Q$105)</f>
        <v>0</v>
      </c>
      <c r="E67" s="7">
        <f>SUMIF(Расчёт!$K$6:$K$105,A67,Расчёт!$R$6:$R$105)</f>
        <v>0</v>
      </c>
      <c r="F67" s="8">
        <f>IFERROR(C67/SUM(Расчёт!$P$6:$P$105),0)</f>
        <v>0</v>
      </c>
      <c r="G67" s="1"/>
      <c r="H67" s="1"/>
      <c r="I67" s="1"/>
      <c r="J67" s="1"/>
    </row>
    <row r="68" spans="1:10">
      <c r="A68" s="11" t="str">
        <f>'Справочник ролей'!$A$18</f>
        <v>1205</v>
      </c>
      <c r="B68" s="5" t="str">
        <f>'Справочник ролей'!$C$18</f>
        <v>Менеджер проектов | #1205</v>
      </c>
      <c r="C68" s="12">
        <f>SUMIF(Расчёт!$K$6:$K$105,A68,Расчёт!$P$6:$P$105)</f>
        <v>0</v>
      </c>
      <c r="D68" s="7">
        <f>SUMIF(Расчёт!$K$6:$K$105,A68,Расчёт!$Q$6:$Q$105)</f>
        <v>0</v>
      </c>
      <c r="E68" s="7">
        <f>SUMIF(Расчёт!$K$6:$K$105,A68,Расчёт!$R$6:$R$105)</f>
        <v>0</v>
      </c>
      <c r="F68" s="8">
        <f>IFERROR(C68/SUM(Расчёт!$P$6:$P$105),0)</f>
        <v>0</v>
      </c>
      <c r="G68" s="1"/>
      <c r="H68" s="1"/>
      <c r="I68" s="1"/>
      <c r="J68" s="1"/>
    </row>
    <row r="69" spans="1:10">
      <c r="A69" s="11" t="str">
        <f>'Справочник ролей'!$A$19</f>
        <v>1206</v>
      </c>
      <c r="B69" s="5" t="str">
        <f>'Справочник ролей'!$C$19</f>
        <v>Администратор проектов | #1206</v>
      </c>
      <c r="C69" s="12">
        <f>SUMIF(Расчёт!$K$6:$K$105,A69,Расчёт!$P$6:$P$105)</f>
        <v>0</v>
      </c>
      <c r="D69" s="7">
        <f>SUMIF(Расчёт!$K$6:$K$105,A69,Расчёт!$Q$6:$Q$105)</f>
        <v>0</v>
      </c>
      <c r="E69" s="7">
        <f>SUMIF(Расчёт!$K$6:$K$105,A69,Расчёт!$R$6:$R$105)</f>
        <v>0</v>
      </c>
      <c r="F69" s="8">
        <f>IFERROR(C69/SUM(Расчёт!$P$6:$P$105),0)</f>
        <v>0</v>
      </c>
      <c r="G69" s="1"/>
      <c r="H69" s="1"/>
      <c r="I69" s="1"/>
      <c r="J69" s="1"/>
    </row>
    <row r="70" spans="1:10">
      <c r="A70" s="11" t="str">
        <f>'Справочник ролей'!$A$20</f>
        <v>1207</v>
      </c>
      <c r="B70" s="5" t="str">
        <f>'Справочник ролей'!$C$20</f>
        <v>L3 DBA инженер | #1207</v>
      </c>
      <c r="C70" s="12">
        <f>SUMIF(Расчёт!$K$6:$K$105,A70,Расчёт!$P$6:$P$105)</f>
        <v>0</v>
      </c>
      <c r="D70" s="7">
        <f>SUMIF(Расчёт!$K$6:$K$105,A70,Расчёт!$Q$6:$Q$105)</f>
        <v>0</v>
      </c>
      <c r="E70" s="7">
        <f>SUMIF(Расчёт!$K$6:$K$105,A70,Расчёт!$R$6:$R$105)</f>
        <v>0</v>
      </c>
      <c r="F70" s="8">
        <f>IFERROR(C70/SUM(Расчёт!$P$6:$P$105),0)</f>
        <v>0</v>
      </c>
      <c r="G70" s="1"/>
      <c r="H70" s="1"/>
      <c r="I70" s="1"/>
      <c r="J70" s="1"/>
    </row>
  </sheetData>
  <mergeCells count="13">
    <mergeCell ref="A1:J1"/>
    <mergeCell ref="A2:J2"/>
    <mergeCell ref="A4:J4"/>
    <mergeCell ref="G5:J5"/>
    <mergeCell ref="I6:J6"/>
    <mergeCell ref="A26:F26"/>
    <mergeCell ref="H26:J26"/>
    <mergeCell ref="A50:F50"/>
    <mergeCell ref="I7:J7"/>
    <mergeCell ref="I8:J8"/>
    <mergeCell ref="I9:J9"/>
    <mergeCell ref="I10:J10"/>
    <mergeCell ref="A14:J1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workbookViewId="0">
      <selection activeCell="B15" sqref="B15"/>
    </sheetView>
  </sheetViews>
  <sheetFormatPr defaultRowHeight="13.8"/>
  <cols>
    <col min="1" max="1" width="26" customWidth="1"/>
    <col min="2" max="2" width="42" customWidth="1"/>
    <col min="3" max="3" width="16" customWidth="1"/>
    <col min="4" max="4" width="24" customWidth="1"/>
    <col min="5" max="5" width="23" customWidth="1"/>
    <col min="6" max="6" width="14" customWidth="1"/>
    <col min="7" max="7" width="19" customWidth="1"/>
    <col min="8" max="8" width="48" customWidth="1"/>
  </cols>
  <sheetData>
    <row r="1" spans="1:8" ht="30" customHeight="1">
      <c r="A1" s="43" t="s">
        <v>66</v>
      </c>
      <c r="B1" s="39"/>
      <c r="C1" s="39"/>
      <c r="D1" s="39"/>
      <c r="E1" s="39"/>
      <c r="F1" s="39"/>
      <c r="G1" s="39"/>
      <c r="H1" s="39"/>
    </row>
    <row r="2" spans="1:8">
      <c r="A2" s="1"/>
      <c r="B2" s="1"/>
      <c r="C2" s="1"/>
      <c r="D2" s="1"/>
      <c r="E2" s="1"/>
      <c r="F2" s="1"/>
      <c r="G2" s="1"/>
      <c r="H2" s="1"/>
    </row>
    <row r="3" spans="1:8" ht="22.95" customHeight="1">
      <c r="A3" s="38" t="s">
        <v>67</v>
      </c>
      <c r="B3" s="39"/>
      <c r="C3" s="1"/>
      <c r="D3" s="38" t="s">
        <v>68</v>
      </c>
      <c r="E3" s="39"/>
      <c r="F3" s="39"/>
      <c r="G3" s="39"/>
      <c r="H3" s="39"/>
    </row>
    <row r="4" spans="1:8">
      <c r="A4" s="22" t="s">
        <v>69</v>
      </c>
      <c r="B4" s="23"/>
      <c r="C4" s="1"/>
      <c r="D4" s="24" t="s">
        <v>12</v>
      </c>
      <c r="E4" s="2" t="str">
        <f>IFERROR(VLOOKUP($B$5,'Справочник типов'!$A$2:$J$27,2,FALSE),"")</f>
        <v/>
      </c>
      <c r="F4" s="46" t="s">
        <v>70</v>
      </c>
      <c r="G4" s="46"/>
      <c r="H4" s="46"/>
    </row>
    <row r="5" spans="1:8">
      <c r="A5" s="22" t="s">
        <v>6</v>
      </c>
      <c r="B5" s="23"/>
      <c r="C5" s="1"/>
      <c r="D5" s="24" t="s">
        <v>9</v>
      </c>
      <c r="E5" s="2" t="str">
        <f>IFERROR(VLOOKUP($B$5,'Справочник типов'!$A$2:$J$27,3,FALSE),"")</f>
        <v/>
      </c>
      <c r="F5" s="46" t="s">
        <v>418</v>
      </c>
      <c r="G5" s="46"/>
      <c r="H5" s="46"/>
    </row>
    <row r="6" spans="1:8">
      <c r="A6" s="22" t="s">
        <v>4</v>
      </c>
      <c r="B6" s="25"/>
      <c r="C6" s="1"/>
      <c r="D6" s="24" t="s">
        <v>15</v>
      </c>
      <c r="E6" s="2" t="str">
        <f>IFERROR(VLOOKUP($B$5,'Справочник типов'!$A$2:$J$27,8,FALSE),"")</f>
        <v/>
      </c>
      <c r="F6" s="46" t="s">
        <v>72</v>
      </c>
      <c r="G6" s="46"/>
      <c r="H6" s="46"/>
    </row>
    <row r="7" spans="1:8">
      <c r="A7" s="22" t="s">
        <v>17</v>
      </c>
      <c r="B7" s="23" t="s">
        <v>73</v>
      </c>
      <c r="C7" s="1"/>
      <c r="D7" s="24" t="s">
        <v>10</v>
      </c>
      <c r="E7" s="2" t="str">
        <f>IFERROR(VLOOKUP($B$5,'Справочник типов'!$A$2:$J$27,5,FALSE),"")</f>
        <v/>
      </c>
      <c r="F7" s="46" t="s">
        <v>74</v>
      </c>
      <c r="G7" s="46"/>
      <c r="H7" s="46"/>
    </row>
    <row r="8" spans="1:8">
      <c r="A8" s="22" t="s">
        <v>75</v>
      </c>
      <c r="B8" s="26">
        <v>0.7</v>
      </c>
      <c r="C8" s="1"/>
      <c r="D8" s="24" t="s">
        <v>77</v>
      </c>
      <c r="E8" s="4" t="str">
        <f>IFERROR(VLOOKUP($B$5,'Справочник типов'!$A$2:$J$27,6,FALSE),"")</f>
        <v/>
      </c>
      <c r="F8" s="46" t="s">
        <v>76</v>
      </c>
      <c r="G8" s="46"/>
      <c r="H8" s="46"/>
    </row>
    <row r="9" spans="1:8">
      <c r="A9" s="22" t="s">
        <v>11</v>
      </c>
      <c r="B9" s="26">
        <v>0.2</v>
      </c>
      <c r="C9" s="1"/>
      <c r="D9" s="24" t="s">
        <v>13</v>
      </c>
      <c r="E9" s="2" t="str">
        <f>IFERROR(VLOOKUP($B$5,'Справочник типов'!$A$2:$J$27,7,FALSE),"")</f>
        <v/>
      </c>
      <c r="F9" s="46"/>
      <c r="G9" s="46"/>
      <c r="H9" s="46"/>
    </row>
    <row r="10" spans="1:8">
      <c r="A10" s="22" t="s">
        <v>36</v>
      </c>
      <c r="B10" s="26">
        <v>0</v>
      </c>
      <c r="C10" s="1"/>
      <c r="D10" s="24" t="s">
        <v>416</v>
      </c>
      <c r="E10" s="2" t="str">
        <f>IFERROR(VLOOKUP($B$5,'Справочник типов'!$A$2:$J$27,9,FALSE),"")</f>
        <v/>
      </c>
      <c r="F10" s="46"/>
      <c r="G10" s="46"/>
      <c r="H10" s="46"/>
    </row>
    <row r="11" spans="1:8">
      <c r="A11" s="22" t="s">
        <v>78</v>
      </c>
      <c r="B11" s="23">
        <v>8</v>
      </c>
      <c r="C11" s="1"/>
      <c r="D11" s="24" t="s">
        <v>128</v>
      </c>
      <c r="E11" s="2" t="str">
        <f>IFERROR(VLOOKUP($B$5,'Справочник типов'!$A$2:$J$27,10,FALSE),"")</f>
        <v/>
      </c>
      <c r="F11" s="46"/>
      <c r="G11" s="46"/>
      <c r="H11" s="46"/>
    </row>
    <row r="12" spans="1:8">
      <c r="A12" s="22" t="s">
        <v>80</v>
      </c>
      <c r="B12" s="25"/>
      <c r="C12" s="1"/>
      <c r="D12" s="24" t="s">
        <v>417</v>
      </c>
      <c r="E12" s="2" t="str">
        <f>IF($B$5="","","Справочник типов")</f>
        <v/>
      </c>
      <c r="F12" s="46"/>
      <c r="G12" s="46"/>
      <c r="H12" s="46"/>
    </row>
    <row r="13" spans="1:8" ht="27.6">
      <c r="A13" s="22" t="s">
        <v>81</v>
      </c>
      <c r="B13" s="23" t="s">
        <v>82</v>
      </c>
      <c r="C13" s="1"/>
      <c r="D13" s="1"/>
      <c r="E13" s="1"/>
      <c r="F13" s="1"/>
      <c r="G13" s="1"/>
      <c r="H13" s="1"/>
    </row>
    <row r="14" spans="1:8">
      <c r="A14" s="22" t="s">
        <v>83</v>
      </c>
      <c r="B14" s="23"/>
      <c r="C14" s="1"/>
      <c r="D14" s="1"/>
      <c r="E14" s="1"/>
      <c r="F14" s="1"/>
      <c r="G14" s="1"/>
      <c r="H14" s="1"/>
    </row>
    <row r="15" spans="1:8">
      <c r="A15" s="22" t="s">
        <v>60</v>
      </c>
      <c r="B15" s="23"/>
      <c r="C15" s="1"/>
      <c r="D15" s="1"/>
      <c r="E15" s="1"/>
      <c r="F15" s="1"/>
      <c r="G15" s="1"/>
      <c r="H15" s="1"/>
    </row>
    <row r="16" spans="1:8" ht="27.6">
      <c r="A16" s="16" t="s">
        <v>34</v>
      </c>
      <c r="B16" s="27">
        <v>0</v>
      </c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2.95" customHeight="1">
      <c r="A18" s="38" t="s">
        <v>21</v>
      </c>
      <c r="B18" s="39"/>
      <c r="C18" s="39"/>
      <c r="D18" s="39"/>
      <c r="E18" s="39"/>
      <c r="F18" s="39"/>
      <c r="G18" s="39"/>
      <c r="H18" s="39"/>
    </row>
    <row r="19" spans="1:8" ht="25.2">
      <c r="A19" s="18" t="s">
        <v>84</v>
      </c>
      <c r="B19" s="18" t="s">
        <v>22</v>
      </c>
      <c r="C19" s="18" t="s">
        <v>23</v>
      </c>
      <c r="D19" s="18" t="s">
        <v>85</v>
      </c>
      <c r="E19" s="18" t="s">
        <v>24</v>
      </c>
      <c r="F19" s="18" t="s">
        <v>25</v>
      </c>
      <c r="G19" s="18" t="s">
        <v>86</v>
      </c>
      <c r="H19" s="18" t="s">
        <v>87</v>
      </c>
    </row>
    <row r="20" spans="1:8">
      <c r="A20" s="11">
        <v>1</v>
      </c>
      <c r="B20" s="5" t="str">
        <f>IFERROR(INDEX('Параметры типов'!$C$2:$C$209,(MATCH($B$5,'Справочник типов'!$A$2:$A$27,0)-1)*8+$A20),"")</f>
        <v/>
      </c>
      <c r="C20" s="5" t="str">
        <f>IFERROR(INDEX('Параметры типов'!$D$2:$D$209,(MATCH($B$5,'Справочник типов'!$A$2:$A$27,0)-1)*8+$A20),"")</f>
        <v/>
      </c>
      <c r="D20" s="28"/>
      <c r="E20" s="6" t="str">
        <f>IF(D20&lt;&gt;"",D20,IFERROR(INDEX('Параметры типов'!$E$2:$E$209,(MATCH($B$5,'Справочник типов'!$A$2:$A$27,0)-1)*8+$A20),""))</f>
        <v/>
      </c>
      <c r="F20" s="5" t="str">
        <f>IFERROR(INDEX('Параметры типов'!$F$2:$F$209,(MATCH($B$5,'Справочник типов'!$A$2:$A$27,0)-1)*8+$A20),"")</f>
        <v/>
      </c>
      <c r="G20" s="5" t="str">
        <f>IFERROR(INDEX('Параметры типов'!$G$2:$G$209,(MATCH($B$5,'Справочник типов'!$A$2:$A$27,0)-1)*8+$A20),"")</f>
        <v/>
      </c>
      <c r="H20" s="5" t="str">
        <f>IFERROR(INDEX('Параметры типов'!$H$2:$H$209,(MATCH($B$5,'Справочник типов'!$A$2:$A$27,0)-1)*8+$A20),"")</f>
        <v/>
      </c>
    </row>
    <row r="21" spans="1:8">
      <c r="A21" s="11">
        <v>2</v>
      </c>
      <c r="B21" s="5" t="str">
        <f>IFERROR(INDEX('Параметры типов'!$C$2:$C$209,(MATCH($B$5,'Справочник типов'!$A$2:$A$27,0)-1)*8+$A21),"")</f>
        <v/>
      </c>
      <c r="C21" s="5" t="str">
        <f>IFERROR(INDEX('Параметры типов'!$D$2:$D$209,(MATCH($B$5,'Справочник типов'!$A$2:$A$27,0)-1)*8+$A21),"")</f>
        <v/>
      </c>
      <c r="D21" s="28"/>
      <c r="E21" s="6" t="str">
        <f>IF(D21&lt;&gt;"",D21,IFERROR(INDEX('Параметры типов'!$E$2:$E$209,(MATCH($B$5,'Справочник типов'!$A$2:$A$27,0)-1)*8+$A21),""))</f>
        <v/>
      </c>
      <c r="F21" s="5" t="str">
        <f>IFERROR(INDEX('Параметры типов'!$F$2:$F$209,(MATCH($B$5,'Справочник типов'!$A$2:$A$27,0)-1)*8+$A21),"")</f>
        <v/>
      </c>
      <c r="G21" s="5" t="str">
        <f>IFERROR(INDEX('Параметры типов'!$G$2:$G$209,(MATCH($B$5,'Справочник типов'!$A$2:$A$27,0)-1)*8+$A21),"")</f>
        <v/>
      </c>
      <c r="H21" s="5" t="str">
        <f>IFERROR(INDEX('Параметры типов'!$H$2:$H$209,(MATCH($B$5,'Справочник типов'!$A$2:$A$27,0)-1)*8+$A21),"")</f>
        <v/>
      </c>
    </row>
    <row r="22" spans="1:8">
      <c r="A22" s="11">
        <v>3</v>
      </c>
      <c r="B22" s="5" t="str">
        <f>IFERROR(INDEX('Параметры типов'!$C$2:$C$209,(MATCH($B$5,'Справочник типов'!$A$2:$A$27,0)-1)*8+$A22),"")</f>
        <v/>
      </c>
      <c r="C22" s="5" t="str">
        <f>IFERROR(INDEX('Параметры типов'!$D$2:$D$209,(MATCH($B$5,'Справочник типов'!$A$2:$A$27,0)-1)*8+$A22),"")</f>
        <v/>
      </c>
      <c r="D22" s="28"/>
      <c r="E22" s="6" t="str">
        <f>IF(D22&lt;&gt;"",D22,IFERROR(INDEX('Параметры типов'!$E$2:$E$209,(MATCH($B$5,'Справочник типов'!$A$2:$A$27,0)-1)*8+$A22),""))</f>
        <v/>
      </c>
      <c r="F22" s="5" t="str">
        <f>IFERROR(INDEX('Параметры типов'!$F$2:$F$209,(MATCH($B$5,'Справочник типов'!$A$2:$A$27,0)-1)*8+$A22),"")</f>
        <v/>
      </c>
      <c r="G22" s="5" t="str">
        <f>IFERROR(INDEX('Параметры типов'!$G$2:$G$209,(MATCH($B$5,'Справочник типов'!$A$2:$A$27,0)-1)*8+$A22),"")</f>
        <v/>
      </c>
      <c r="H22" s="5" t="str">
        <f>IFERROR(INDEX('Параметры типов'!$H$2:$H$209,(MATCH($B$5,'Справочник типов'!$A$2:$A$27,0)-1)*8+$A22),"")</f>
        <v/>
      </c>
    </row>
    <row r="23" spans="1:8">
      <c r="A23" s="11">
        <v>4</v>
      </c>
      <c r="B23" s="5" t="str">
        <f>IFERROR(INDEX('Параметры типов'!$C$2:$C$209,(MATCH($B$5,'Справочник типов'!$A$2:$A$27,0)-1)*8+$A23),"")</f>
        <v/>
      </c>
      <c r="C23" s="5" t="str">
        <f>IFERROR(INDEX('Параметры типов'!$D$2:$D$209,(MATCH($B$5,'Справочник типов'!$A$2:$A$27,0)-1)*8+$A23),"")</f>
        <v/>
      </c>
      <c r="D23" s="28"/>
      <c r="E23" s="6" t="str">
        <f>IF(D23&lt;&gt;"",D23,IFERROR(INDEX('Параметры типов'!$E$2:$E$209,(MATCH($B$5,'Справочник типов'!$A$2:$A$27,0)-1)*8+$A23),""))</f>
        <v/>
      </c>
      <c r="F23" s="5" t="str">
        <f>IFERROR(INDEX('Параметры типов'!$F$2:$F$209,(MATCH($B$5,'Справочник типов'!$A$2:$A$27,0)-1)*8+$A23),"")</f>
        <v/>
      </c>
      <c r="G23" s="5" t="str">
        <f>IFERROR(INDEX('Параметры типов'!$G$2:$G$209,(MATCH($B$5,'Справочник типов'!$A$2:$A$27,0)-1)*8+$A23),"")</f>
        <v/>
      </c>
      <c r="H23" s="5" t="str">
        <f>IFERROR(INDEX('Параметры типов'!$H$2:$H$209,(MATCH($B$5,'Справочник типов'!$A$2:$A$27,0)-1)*8+$A23),"")</f>
        <v/>
      </c>
    </row>
    <row r="24" spans="1:8">
      <c r="A24" s="11">
        <v>5</v>
      </c>
      <c r="B24" s="5" t="str">
        <f>IFERROR(INDEX('Параметры типов'!$C$2:$C$209,(MATCH($B$5,'Справочник типов'!$A$2:$A$27,0)-1)*8+$A24),"")</f>
        <v/>
      </c>
      <c r="C24" s="5" t="str">
        <f>IFERROR(INDEX('Параметры типов'!$D$2:$D$209,(MATCH($B$5,'Справочник типов'!$A$2:$A$27,0)-1)*8+$A24),"")</f>
        <v/>
      </c>
      <c r="D24" s="28"/>
      <c r="E24" s="6" t="str">
        <f>IF(D24&lt;&gt;"",D24,IFERROR(INDEX('Параметры типов'!$E$2:$E$209,(MATCH($B$5,'Справочник типов'!$A$2:$A$27,0)-1)*8+$A24),""))</f>
        <v/>
      </c>
      <c r="F24" s="5" t="str">
        <f>IFERROR(INDEX('Параметры типов'!$F$2:$F$209,(MATCH($B$5,'Справочник типов'!$A$2:$A$27,0)-1)*8+$A24),"")</f>
        <v/>
      </c>
      <c r="G24" s="5" t="str">
        <f>IFERROR(INDEX('Параметры типов'!$G$2:$G$209,(MATCH($B$5,'Справочник типов'!$A$2:$A$27,0)-1)*8+$A24),"")</f>
        <v/>
      </c>
      <c r="H24" s="5" t="str">
        <f>IFERROR(INDEX('Параметры типов'!$H$2:$H$209,(MATCH($B$5,'Справочник типов'!$A$2:$A$27,0)-1)*8+$A24),"")</f>
        <v/>
      </c>
    </row>
    <row r="25" spans="1:8">
      <c r="A25" s="11">
        <v>6</v>
      </c>
      <c r="B25" s="5" t="str">
        <f>IFERROR(INDEX('Параметры типов'!$C$2:$C$209,(MATCH($B$5,'Справочник типов'!$A$2:$A$27,0)-1)*8+$A25),"")</f>
        <v/>
      </c>
      <c r="C25" s="5" t="str">
        <f>IFERROR(INDEX('Параметры типов'!$D$2:$D$209,(MATCH($B$5,'Справочник типов'!$A$2:$A$27,0)-1)*8+$A25),"")</f>
        <v/>
      </c>
      <c r="D25" s="28"/>
      <c r="E25" s="6" t="str">
        <f>IF(D25&lt;&gt;"",D25,IFERROR(INDEX('Параметры типов'!$E$2:$E$209,(MATCH($B$5,'Справочник типов'!$A$2:$A$27,0)-1)*8+$A25),""))</f>
        <v/>
      </c>
      <c r="F25" s="5" t="str">
        <f>IFERROR(INDEX('Параметры типов'!$F$2:$F$209,(MATCH($B$5,'Справочник типов'!$A$2:$A$27,0)-1)*8+$A25),"")</f>
        <v/>
      </c>
      <c r="G25" s="5" t="str">
        <f>IFERROR(INDEX('Параметры типов'!$G$2:$G$209,(MATCH($B$5,'Справочник типов'!$A$2:$A$27,0)-1)*8+$A25),"")</f>
        <v/>
      </c>
      <c r="H25" s="5" t="str">
        <f>IFERROR(INDEX('Параметры типов'!$H$2:$H$209,(MATCH($B$5,'Справочник типов'!$A$2:$A$27,0)-1)*8+$A25),"")</f>
        <v/>
      </c>
    </row>
    <row r="26" spans="1:8">
      <c r="A26" s="11">
        <v>7</v>
      </c>
      <c r="B26" s="5" t="str">
        <f>IFERROR(INDEX('Параметры типов'!$C$2:$C$209,(MATCH($B$5,'Справочник типов'!$A$2:$A$27,0)-1)*8+$A26),"")</f>
        <v/>
      </c>
      <c r="C26" s="5" t="str">
        <f>IFERROR(INDEX('Параметры типов'!$D$2:$D$209,(MATCH($B$5,'Справочник типов'!$A$2:$A$27,0)-1)*8+$A26),"")</f>
        <v/>
      </c>
      <c r="D26" s="28"/>
      <c r="E26" s="6" t="str">
        <f>IF(D26&lt;&gt;"",D26,IFERROR(INDEX('Параметры типов'!$E$2:$E$209,(MATCH($B$5,'Справочник типов'!$A$2:$A$27,0)-1)*8+$A26),""))</f>
        <v/>
      </c>
      <c r="F26" s="5" t="str">
        <f>IFERROR(INDEX('Параметры типов'!$F$2:$F$209,(MATCH($B$5,'Справочник типов'!$A$2:$A$27,0)-1)*8+$A26),"")</f>
        <v/>
      </c>
      <c r="G26" s="5" t="str">
        <f>IFERROR(INDEX('Параметры типов'!$G$2:$G$209,(MATCH($B$5,'Справочник типов'!$A$2:$A$27,0)-1)*8+$A26),"")</f>
        <v/>
      </c>
      <c r="H26" s="5" t="str">
        <f>IFERROR(INDEX('Параметры типов'!$H$2:$H$209,(MATCH($B$5,'Справочник типов'!$A$2:$A$27,0)-1)*8+$A26),"")</f>
        <v/>
      </c>
    </row>
    <row r="27" spans="1:8">
      <c r="A27" s="11">
        <v>8</v>
      </c>
      <c r="B27" s="5" t="str">
        <f>IFERROR(INDEX('Параметры типов'!$C$2:$C$209,(MATCH($B$5,'Справочник типов'!$A$2:$A$27,0)-1)*8+$A27),"")</f>
        <v/>
      </c>
      <c r="C27" s="5" t="str">
        <f>IFERROR(INDEX('Параметры типов'!$D$2:$D$209,(MATCH($B$5,'Справочник типов'!$A$2:$A$27,0)-1)*8+$A27),"")</f>
        <v/>
      </c>
      <c r="D27" s="28"/>
      <c r="E27" s="6" t="str">
        <f>IF(D27&lt;&gt;"",D27,IFERROR(INDEX('Параметры типов'!$E$2:$E$209,(MATCH($B$5,'Справочник типов'!$A$2:$A$27,0)-1)*8+$A27),""))</f>
        <v/>
      </c>
      <c r="F27" s="5" t="str">
        <f>IFERROR(INDEX('Параметры типов'!$F$2:$F$209,(MATCH($B$5,'Справочник типов'!$A$2:$A$27,0)-1)*8+$A27),"")</f>
        <v/>
      </c>
      <c r="G27" s="5" t="str">
        <f>IFERROR(INDEX('Параметры типов'!$G$2:$G$209,(MATCH($B$5,'Справочник типов'!$A$2:$A$27,0)-1)*8+$A27),"")</f>
        <v/>
      </c>
      <c r="H27" s="5" t="str">
        <f>IFERROR(INDEX('Параметры типов'!$H$2:$H$209,(MATCH($B$5,'Справочник типов'!$A$2:$A$27,0)-1)*8+$A27),"")</f>
        <v/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 ht="22.95" customHeight="1">
      <c r="A30" s="38" t="s">
        <v>88</v>
      </c>
      <c r="B30" s="39"/>
      <c r="C30" s="39"/>
      <c r="D30" s="39"/>
      <c r="E30" s="39"/>
      <c r="F30" s="39"/>
      <c r="G30" s="39"/>
      <c r="H30" s="39"/>
    </row>
    <row r="31" spans="1:8" ht="25.2">
      <c r="A31" s="18" t="s">
        <v>44</v>
      </c>
      <c r="B31" s="18" t="s">
        <v>45</v>
      </c>
      <c r="C31" s="18" t="s">
        <v>89</v>
      </c>
      <c r="D31" s="18" t="s">
        <v>90</v>
      </c>
      <c r="E31" s="1"/>
      <c r="F31" s="1"/>
      <c r="G31" s="1"/>
      <c r="H31" s="1"/>
    </row>
    <row r="32" spans="1:8">
      <c r="A32" s="5"/>
      <c r="B32" s="5"/>
      <c r="C32" s="5"/>
      <c r="D32" s="5"/>
      <c r="E32" s="1"/>
      <c r="F32" s="1"/>
      <c r="G32" s="1"/>
      <c r="H32" s="1"/>
    </row>
    <row r="33" spans="1:8">
      <c r="A33" s="5"/>
      <c r="B33" s="5"/>
      <c r="C33" s="5"/>
      <c r="D33" s="5"/>
      <c r="E33" s="1"/>
      <c r="F33" s="1"/>
      <c r="G33" s="1"/>
      <c r="H33" s="1"/>
    </row>
    <row r="34" spans="1:8">
      <c r="A34" s="5"/>
      <c r="B34" s="5"/>
      <c r="C34" s="5"/>
      <c r="D34" s="5"/>
      <c r="E34" s="1"/>
      <c r="F34" s="1"/>
      <c r="G34" s="1"/>
      <c r="H34" s="1"/>
    </row>
    <row r="35" spans="1:8">
      <c r="A35" s="5"/>
      <c r="B35" s="5"/>
      <c r="C35" s="5"/>
      <c r="D35" s="5"/>
      <c r="E35" s="1"/>
      <c r="F35" s="1"/>
      <c r="G35" s="1"/>
      <c r="H35" s="1"/>
    </row>
    <row r="36" spans="1:8">
      <c r="A36" s="21"/>
      <c r="B36" s="21"/>
      <c r="C36" s="21"/>
      <c r="D36" s="21"/>
      <c r="E36" s="1"/>
      <c r="F36" s="1"/>
      <c r="G36" s="1"/>
      <c r="H36" s="1"/>
    </row>
    <row r="37" spans="1:8">
      <c r="A37" s="21"/>
      <c r="B37" s="21"/>
      <c r="C37" s="21"/>
      <c r="D37" s="21"/>
      <c r="E37" s="1"/>
      <c r="F37" s="1"/>
      <c r="G37" s="1"/>
      <c r="H37" s="1"/>
    </row>
    <row r="38" spans="1:8">
      <c r="A38" s="21"/>
      <c r="B38" s="21"/>
      <c r="C38" s="21"/>
      <c r="D38" s="21"/>
      <c r="E38" s="1"/>
      <c r="F38" s="1"/>
      <c r="G38" s="1"/>
      <c r="H38" s="1"/>
    </row>
    <row r="39" spans="1:8">
      <c r="A39" s="21"/>
      <c r="B39" s="21"/>
      <c r="C39" s="21"/>
      <c r="D39" s="21"/>
      <c r="E39" s="1"/>
      <c r="F39" s="1"/>
      <c r="G39" s="1"/>
      <c r="H39" s="1"/>
    </row>
  </sheetData>
  <mergeCells count="14">
    <mergeCell ref="A1:H1"/>
    <mergeCell ref="A3:B3"/>
    <mergeCell ref="D3:H3"/>
    <mergeCell ref="F4:H4"/>
    <mergeCell ref="F5:H5"/>
    <mergeCell ref="F11:H11"/>
    <mergeCell ref="F12:H12"/>
    <mergeCell ref="A18:H18"/>
    <mergeCell ref="A30:H30"/>
    <mergeCell ref="F6:H6"/>
    <mergeCell ref="F7:H7"/>
    <mergeCell ref="F8:H8"/>
    <mergeCell ref="F9:H9"/>
    <mergeCell ref="F10:H10"/>
  </mergeCells>
  <dataValidations count="2">
    <dataValidation type="list" sqref="B7" xr:uid="{00000000-0002-0000-0100-000001000000}">
      <formula1>"Бюджетная,Уточнённая"</formula1>
    </dataValidation>
    <dataValidation type="list" sqref="B13" xr:uid="{00000000-0002-0000-0100-000002000000}">
      <formula1>"Авто,Всего,В месяц,На единицу,Ед. × месяц"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'Справочник типов'!$A$2:$A$27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5"/>
  <sheetViews>
    <sheetView showGridLines="0" workbookViewId="0">
      <selection activeCell="G5" sqref="G5"/>
    </sheetView>
  </sheetViews>
  <sheetFormatPr defaultRowHeight="13.8"/>
  <cols>
    <col min="1" max="1" width="9" customWidth="1"/>
    <col min="2" max="2" width="30" customWidth="1"/>
    <col min="3" max="3" width="11" customWidth="1"/>
    <col min="4" max="4" width="48" customWidth="1"/>
    <col min="5" max="5" width="40" customWidth="1"/>
    <col min="6" max="6" width="11" customWidth="1"/>
    <col min="7" max="7" width="16" customWidth="1"/>
    <col min="8" max="8" width="15" customWidth="1"/>
    <col min="9" max="10" width="19" customWidth="1"/>
    <col min="11" max="11" width="11" customWidth="1"/>
    <col min="12" max="14" width="16" customWidth="1"/>
    <col min="15" max="15" width="12" customWidth="1"/>
    <col min="16" max="16" width="16" customWidth="1"/>
    <col min="17" max="17" width="18" customWidth="1"/>
    <col min="18" max="18" width="19" customWidth="1"/>
    <col min="19" max="19" width="14" customWidth="1"/>
    <col min="20" max="20" width="21" customWidth="1"/>
    <col min="21" max="21" width="25" customWidth="1"/>
    <col min="22" max="22" width="40" customWidth="1"/>
  </cols>
  <sheetData>
    <row r="1" spans="1:22" ht="30" customHeight="1">
      <c r="A1" s="43" t="s">
        <v>91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47" t="s">
        <v>92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5.2">
      <c r="A5" s="18" t="s">
        <v>93</v>
      </c>
      <c r="B5" s="18" t="s">
        <v>40</v>
      </c>
      <c r="C5" s="18" t="s">
        <v>94</v>
      </c>
      <c r="D5" s="18" t="s">
        <v>95</v>
      </c>
      <c r="E5" s="18" t="s">
        <v>64</v>
      </c>
      <c r="F5" s="18" t="s">
        <v>96</v>
      </c>
      <c r="G5" s="18" t="s">
        <v>79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16</v>
      </c>
      <c r="N5" s="18" t="s">
        <v>102</v>
      </c>
      <c r="O5" s="18" t="s">
        <v>103</v>
      </c>
      <c r="P5" s="18" t="s">
        <v>52</v>
      </c>
      <c r="Q5" s="18" t="s">
        <v>104</v>
      </c>
      <c r="R5" s="18" t="s">
        <v>105</v>
      </c>
      <c r="S5" s="18" t="s">
        <v>43</v>
      </c>
      <c r="T5" s="18" t="s">
        <v>106</v>
      </c>
      <c r="U5" s="18" t="s">
        <v>107</v>
      </c>
      <c r="V5" s="18" t="s">
        <v>108</v>
      </c>
    </row>
    <row r="6" spans="1:22">
      <c r="A6" s="33"/>
      <c r="B6" s="28"/>
      <c r="C6" s="28"/>
      <c r="D6" s="28"/>
      <c r="E6" s="28"/>
      <c r="F6" s="34"/>
      <c r="G6" s="33" t="s">
        <v>82</v>
      </c>
      <c r="H6" s="33"/>
      <c r="I6" s="35"/>
      <c r="J6" s="35"/>
      <c r="K6" s="29" t="str">
        <f t="shared" ref="K6:K37" si="0">IFERROR(MID(E6,FIND("#",E6)+1,20),"")</f>
        <v/>
      </c>
      <c r="L6" s="30" t="str">
        <f>IF(D6="","",IF(I6&lt;&gt;"",I6,IFERROR(VLOOKUP(K6,'Справочник ролей'!$A$2:$E$20,4,FALSE),0)))</f>
        <v/>
      </c>
      <c r="M6" s="30" t="str">
        <f>IF(D6="","",IF(J6&lt;&gt;"",J6,IFERROR(VLOOKUP(K6,'Справочник ролей'!$A$2:$E$20,5,FALSE),0)))</f>
        <v/>
      </c>
      <c r="N6" s="29" t="str">
        <f>IF(D6="","",IF(G6&lt;&gt;"Авто",G6,IF(Ввод!$B$13&lt;&gt;"Авто",Ввод!$B$13,IFERROR(VLOOKUP(Ввод!$B$5,'Справочник типов'!$A$2:$I$27,9,FALSE),"Всего"))))</f>
        <v/>
      </c>
      <c r="O6" s="31" t="str">
        <f>IF(D6="","",IF(N6="В месяц",MAX(1,SUMIF(Ввод!$G$20:$G$27,"TERM_MONTHS",Ввод!$E$20:$E$27)),IF(N6="На единицу",IF(H6&lt;&gt;"",H6,MAX(1,SUMIF(Ввод!$G$20:$G$27,"QTY",Ввод!$E$20:$E$27))),IF(N6="Ед. × месяц",IF(H6&lt;&gt;"",H6,MAX(1,SUMIF(Ввод!$G$20:$G$27,"QTY",Ввод!$E$20:$E$27)))*MAX(1,SUMIF(Ввод!$G$20:$G$27,"TERM_MONTHS",Ввод!$E$20:$E$27)),1))))</f>
        <v/>
      </c>
      <c r="P6" s="31" t="str">
        <f>IF(D6="","",F6*O6*IF(SUMIF(Ввод!$G$20:$G$27,"COMPLEXITY",Ввод!$E$20:$E$27)=0,1,SUMIF(Ввод!$G$20:$G$27,"COMPLEXITY",Ввод!$E$20:$E$27))*(1+SUMIF(Ввод!$G$20:$G$27,"RISK_PCT",Ввод!$E$20:$E$27)))</f>
        <v/>
      </c>
      <c r="Q6" s="30" t="str">
        <f t="shared" ref="Q6:Q37" si="1">IF(D6="","",P6*L6)</f>
        <v/>
      </c>
      <c r="R6" s="30" t="str">
        <f t="shared" ref="R6:R37" si="2">IF(D6="","",P6*M6)</f>
        <v/>
      </c>
      <c r="S6" s="32" t="str">
        <f>IF(D6="","",P6/(Ввод!$B$11*IF(SUMIF(Ввод!$G$20:$G$27,"PARALLEL_FTE",Ввод!$E$20:$E$27)=0,1,SUMIF(Ввод!$G$20:$G$27,"PARALLEL_FTE",Ввод!$E$20:$E$27))))</f>
        <v/>
      </c>
      <c r="T6" s="29" t="str">
        <f t="shared" ref="T6:T37" si="3">IF(D6="","",IF(F6&lt;=0,"ПРОВЕРИТЬ ЧАСЫ",IF(AND(L6=0,M6=0),"ПРОВЕРИТЬ СТАВКУ","OK")))</f>
        <v/>
      </c>
      <c r="U6" s="28"/>
      <c r="V6" s="28"/>
    </row>
    <row r="7" spans="1:22">
      <c r="A7" s="33"/>
      <c r="B7" s="28"/>
      <c r="C7" s="28"/>
      <c r="D7" s="28"/>
      <c r="E7" s="28"/>
      <c r="F7" s="34"/>
      <c r="G7" s="33" t="s">
        <v>82</v>
      </c>
      <c r="H7" s="33"/>
      <c r="I7" s="35"/>
      <c r="J7" s="35"/>
      <c r="K7" s="29" t="str">
        <f t="shared" si="0"/>
        <v/>
      </c>
      <c r="L7" s="30" t="str">
        <f>IF(D7="","",IF(I7&lt;&gt;"",I7,IFERROR(VLOOKUP(K7,'Справочник ролей'!$A$2:$E$20,4,FALSE),0)))</f>
        <v/>
      </c>
      <c r="M7" s="30" t="str">
        <f>IF(D7="","",IF(J7&lt;&gt;"",J7,IFERROR(VLOOKUP(K7,'Справочник ролей'!$A$2:$E$20,5,FALSE),0)))</f>
        <v/>
      </c>
      <c r="N7" s="29" t="str">
        <f>IF(D7="","",IF(G7&lt;&gt;"Авто",G7,IF(Ввод!$B$13&lt;&gt;"Авто",Ввод!$B$13,IFERROR(VLOOKUP(Ввод!$B$5,'Справочник типов'!$A$2:$I$27,9,FALSE),"Всего"))))</f>
        <v/>
      </c>
      <c r="O7" s="31" t="str">
        <f>IF(D7="","",IF(N7="В месяц",MAX(1,SUMIF(Ввод!$G$20:$G$27,"TERM_MONTHS",Ввод!$E$20:$E$27)),IF(N7="На единицу",IF(H7&lt;&gt;"",H7,MAX(1,SUMIF(Ввод!$G$20:$G$27,"QTY",Ввод!$E$20:$E$27))),IF(N7="Ед. × месяц",IF(H7&lt;&gt;"",H7,MAX(1,SUMIF(Ввод!$G$20:$G$27,"QTY",Ввод!$E$20:$E$27)))*MAX(1,SUMIF(Ввод!$G$20:$G$27,"TERM_MONTHS",Ввод!$E$20:$E$27)),1))))</f>
        <v/>
      </c>
      <c r="P7" s="31" t="str">
        <f>IF(D7="","",F7*O7*IF(SUMIF(Ввод!$G$20:$G$27,"COMPLEXITY",Ввод!$E$20:$E$27)=0,1,SUMIF(Ввод!$G$20:$G$27,"COMPLEXITY",Ввод!$E$20:$E$27))*(1+SUMIF(Ввод!$G$20:$G$27,"RISK_PCT",Ввод!$E$20:$E$27)))</f>
        <v/>
      </c>
      <c r="Q7" s="30" t="str">
        <f t="shared" si="1"/>
        <v/>
      </c>
      <c r="R7" s="30" t="str">
        <f t="shared" si="2"/>
        <v/>
      </c>
      <c r="S7" s="32" t="str">
        <f>IF(D7="","",P7/(Ввод!$B$11*IF(SUMIF(Ввод!$G$20:$G$27,"PARALLEL_FTE",Ввод!$E$20:$E$27)=0,1,SUMIF(Ввод!$G$20:$G$27,"PARALLEL_FTE",Ввод!$E$20:$E$27))))</f>
        <v/>
      </c>
      <c r="T7" s="29" t="str">
        <f t="shared" si="3"/>
        <v/>
      </c>
      <c r="U7" s="28"/>
      <c r="V7" s="28"/>
    </row>
    <row r="8" spans="1:22">
      <c r="A8" s="33"/>
      <c r="B8" s="28"/>
      <c r="C8" s="28"/>
      <c r="D8" s="28"/>
      <c r="E8" s="28"/>
      <c r="F8" s="34"/>
      <c r="G8" s="33" t="s">
        <v>82</v>
      </c>
      <c r="H8" s="33"/>
      <c r="I8" s="35"/>
      <c r="J8" s="35"/>
      <c r="K8" s="29" t="str">
        <f t="shared" si="0"/>
        <v/>
      </c>
      <c r="L8" s="30" t="str">
        <f>IF(D8="","",IF(I8&lt;&gt;"",I8,IFERROR(VLOOKUP(K8,'Справочник ролей'!$A$2:$E$20,4,FALSE),0)))</f>
        <v/>
      </c>
      <c r="M8" s="30" t="str">
        <f>IF(D8="","",IF(J8&lt;&gt;"",J8,IFERROR(VLOOKUP(K8,'Справочник ролей'!$A$2:$E$20,5,FALSE),0)))</f>
        <v/>
      </c>
      <c r="N8" s="29" t="str">
        <f>IF(D8="","",IF(G8&lt;&gt;"Авто",G8,IF(Ввод!$B$13&lt;&gt;"Авто",Ввод!$B$13,IFERROR(VLOOKUP(Ввод!$B$5,'Справочник типов'!$A$2:$I$27,9,FALSE),"Всего"))))</f>
        <v/>
      </c>
      <c r="O8" s="31" t="str">
        <f>IF(D8="","",IF(N8="В месяц",MAX(1,SUMIF(Ввод!$G$20:$G$27,"TERM_MONTHS",Ввод!$E$20:$E$27)),IF(N8="На единицу",IF(H8&lt;&gt;"",H8,MAX(1,SUMIF(Ввод!$G$20:$G$27,"QTY",Ввод!$E$20:$E$27))),IF(N8="Ед. × месяц",IF(H8&lt;&gt;"",H8,MAX(1,SUMIF(Ввод!$G$20:$G$27,"QTY",Ввод!$E$20:$E$27)))*MAX(1,SUMIF(Ввод!$G$20:$G$27,"TERM_MONTHS",Ввод!$E$20:$E$27)),1))))</f>
        <v/>
      </c>
      <c r="P8" s="31" t="str">
        <f>IF(D8="","",F8*O8*IF(SUMIF(Ввод!$G$20:$G$27,"COMPLEXITY",Ввод!$E$20:$E$27)=0,1,SUMIF(Ввод!$G$20:$G$27,"COMPLEXITY",Ввод!$E$20:$E$27))*(1+SUMIF(Ввод!$G$20:$G$27,"RISK_PCT",Ввод!$E$20:$E$27)))</f>
        <v/>
      </c>
      <c r="Q8" s="30" t="str">
        <f t="shared" si="1"/>
        <v/>
      </c>
      <c r="R8" s="30" t="str">
        <f t="shared" si="2"/>
        <v/>
      </c>
      <c r="S8" s="32" t="str">
        <f>IF(D8="","",P8/(Ввод!$B$11*IF(SUMIF(Ввод!$G$20:$G$27,"PARALLEL_FTE",Ввод!$E$20:$E$27)=0,1,SUMIF(Ввод!$G$20:$G$27,"PARALLEL_FTE",Ввод!$E$20:$E$27))))</f>
        <v/>
      </c>
      <c r="T8" s="29" t="str">
        <f t="shared" si="3"/>
        <v/>
      </c>
      <c r="U8" s="28"/>
      <c r="V8" s="28"/>
    </row>
    <row r="9" spans="1:22">
      <c r="A9" s="33"/>
      <c r="B9" s="28"/>
      <c r="C9" s="28"/>
      <c r="D9" s="28"/>
      <c r="E9" s="28"/>
      <c r="F9" s="34"/>
      <c r="G9" s="33" t="s">
        <v>82</v>
      </c>
      <c r="H9" s="33"/>
      <c r="I9" s="35"/>
      <c r="J9" s="35"/>
      <c r="K9" s="29" t="str">
        <f t="shared" si="0"/>
        <v/>
      </c>
      <c r="L9" s="30" t="str">
        <f>IF(D9="","",IF(I9&lt;&gt;"",I9,IFERROR(VLOOKUP(K9,'Справочник ролей'!$A$2:$E$20,4,FALSE),0)))</f>
        <v/>
      </c>
      <c r="M9" s="30" t="str">
        <f>IF(D9="","",IF(J9&lt;&gt;"",J9,IFERROR(VLOOKUP(K9,'Справочник ролей'!$A$2:$E$20,5,FALSE),0)))</f>
        <v/>
      </c>
      <c r="N9" s="29" t="str">
        <f>IF(D9="","",IF(G9&lt;&gt;"Авто",G9,IF(Ввод!$B$13&lt;&gt;"Авто",Ввод!$B$13,IFERROR(VLOOKUP(Ввод!$B$5,'Справочник типов'!$A$2:$I$27,9,FALSE),"Всего"))))</f>
        <v/>
      </c>
      <c r="O9" s="31" t="str">
        <f>IF(D9="","",IF(N9="В месяц",MAX(1,SUMIF(Ввод!$G$20:$G$27,"TERM_MONTHS",Ввод!$E$20:$E$27)),IF(N9="На единицу",IF(H9&lt;&gt;"",H9,MAX(1,SUMIF(Ввод!$G$20:$G$27,"QTY",Ввод!$E$20:$E$27))),IF(N9="Ед. × месяц",IF(H9&lt;&gt;"",H9,MAX(1,SUMIF(Ввод!$G$20:$G$27,"QTY",Ввод!$E$20:$E$27)))*MAX(1,SUMIF(Ввод!$G$20:$G$27,"TERM_MONTHS",Ввод!$E$20:$E$27)),1))))</f>
        <v/>
      </c>
      <c r="P9" s="31" t="str">
        <f>IF(D9="","",F9*O9*IF(SUMIF(Ввод!$G$20:$G$27,"COMPLEXITY",Ввод!$E$20:$E$27)=0,1,SUMIF(Ввод!$G$20:$G$27,"COMPLEXITY",Ввод!$E$20:$E$27))*(1+SUMIF(Ввод!$G$20:$G$27,"RISK_PCT",Ввод!$E$20:$E$27)))</f>
        <v/>
      </c>
      <c r="Q9" s="30" t="str">
        <f t="shared" si="1"/>
        <v/>
      </c>
      <c r="R9" s="30" t="str">
        <f t="shared" si="2"/>
        <v/>
      </c>
      <c r="S9" s="32" t="str">
        <f>IF(D9="","",P9/(Ввод!$B$11*IF(SUMIF(Ввод!$G$20:$G$27,"PARALLEL_FTE",Ввод!$E$20:$E$27)=0,1,SUMIF(Ввод!$G$20:$G$27,"PARALLEL_FTE",Ввод!$E$20:$E$27))))</f>
        <v/>
      </c>
      <c r="T9" s="29" t="str">
        <f t="shared" si="3"/>
        <v/>
      </c>
      <c r="U9" s="28"/>
      <c r="V9" s="28"/>
    </row>
    <row r="10" spans="1:22">
      <c r="A10" s="33"/>
      <c r="B10" s="28"/>
      <c r="C10" s="28"/>
      <c r="D10" s="28"/>
      <c r="E10" s="28"/>
      <c r="F10" s="34"/>
      <c r="G10" s="33" t="s">
        <v>82</v>
      </c>
      <c r="H10" s="33"/>
      <c r="I10" s="35"/>
      <c r="J10" s="35"/>
      <c r="K10" s="29" t="str">
        <f t="shared" si="0"/>
        <v/>
      </c>
      <c r="L10" s="30" t="str">
        <f>IF(D10="","",IF(I10&lt;&gt;"",I10,IFERROR(VLOOKUP(K10,'Справочник ролей'!$A$2:$E$20,4,FALSE),0)))</f>
        <v/>
      </c>
      <c r="M10" s="30" t="str">
        <f>IF(D10="","",IF(J10&lt;&gt;"",J10,IFERROR(VLOOKUP(K10,'Справочник ролей'!$A$2:$E$20,5,FALSE),0)))</f>
        <v/>
      </c>
      <c r="N10" s="29" t="str">
        <f>IF(D10="","",IF(G10&lt;&gt;"Авто",G10,IF(Ввод!$B$13&lt;&gt;"Авто",Ввод!$B$13,IFERROR(VLOOKUP(Ввод!$B$5,'Справочник типов'!$A$2:$I$27,9,FALSE),"Всего"))))</f>
        <v/>
      </c>
      <c r="O10" s="31" t="str">
        <f>IF(D10="","",IF(N10="В месяц",MAX(1,SUMIF(Ввод!$G$20:$G$27,"TERM_MONTHS",Ввод!$E$20:$E$27)),IF(N10="На единицу",IF(H10&lt;&gt;"",H10,MAX(1,SUMIF(Ввод!$G$20:$G$27,"QTY",Ввод!$E$20:$E$27))),IF(N10="Ед. × месяц",IF(H10&lt;&gt;"",H10,MAX(1,SUMIF(Ввод!$G$20:$G$27,"QTY",Ввод!$E$20:$E$27)))*MAX(1,SUMIF(Ввод!$G$20:$G$27,"TERM_MONTHS",Ввод!$E$20:$E$27)),1))))</f>
        <v/>
      </c>
      <c r="P10" s="31" t="str">
        <f>IF(D10="","",F10*O10*IF(SUMIF(Ввод!$G$20:$G$27,"COMPLEXITY",Ввод!$E$20:$E$27)=0,1,SUMIF(Ввод!$G$20:$G$27,"COMPLEXITY",Ввод!$E$20:$E$27))*(1+SUMIF(Ввод!$G$20:$G$27,"RISK_PCT",Ввод!$E$20:$E$27)))</f>
        <v/>
      </c>
      <c r="Q10" s="30" t="str">
        <f t="shared" si="1"/>
        <v/>
      </c>
      <c r="R10" s="30" t="str">
        <f t="shared" si="2"/>
        <v/>
      </c>
      <c r="S10" s="32" t="str">
        <f>IF(D10="","",P10/(Ввод!$B$11*IF(SUMIF(Ввод!$G$20:$G$27,"PARALLEL_FTE",Ввод!$E$20:$E$27)=0,1,SUMIF(Ввод!$G$20:$G$27,"PARALLEL_FTE",Ввод!$E$20:$E$27))))</f>
        <v/>
      </c>
      <c r="T10" s="29" t="str">
        <f t="shared" si="3"/>
        <v/>
      </c>
      <c r="U10" s="28"/>
      <c r="V10" s="28"/>
    </row>
    <row r="11" spans="1:22">
      <c r="A11" s="33"/>
      <c r="B11" s="28"/>
      <c r="C11" s="28"/>
      <c r="D11" s="28"/>
      <c r="E11" s="28"/>
      <c r="F11" s="34"/>
      <c r="G11" s="33" t="s">
        <v>82</v>
      </c>
      <c r="H11" s="33"/>
      <c r="I11" s="35"/>
      <c r="J11" s="35"/>
      <c r="K11" s="29" t="str">
        <f t="shared" si="0"/>
        <v/>
      </c>
      <c r="L11" s="30" t="str">
        <f>IF(D11="","",IF(I11&lt;&gt;"",I11,IFERROR(VLOOKUP(K11,'Справочник ролей'!$A$2:$E$20,4,FALSE),0)))</f>
        <v/>
      </c>
      <c r="M11" s="30" t="str">
        <f>IF(D11="","",IF(J11&lt;&gt;"",J11,IFERROR(VLOOKUP(K11,'Справочник ролей'!$A$2:$E$20,5,FALSE),0)))</f>
        <v/>
      </c>
      <c r="N11" s="29" t="str">
        <f>IF(D11="","",IF(G11&lt;&gt;"Авто",G11,IF(Ввод!$B$13&lt;&gt;"Авто",Ввод!$B$13,IFERROR(VLOOKUP(Ввод!$B$5,'Справочник типов'!$A$2:$I$27,9,FALSE),"Всего"))))</f>
        <v/>
      </c>
      <c r="O11" s="31" t="str">
        <f>IF(D11="","",IF(N11="В месяц",MAX(1,SUMIF(Ввод!$G$20:$G$27,"TERM_MONTHS",Ввод!$E$20:$E$27)),IF(N11="На единицу",IF(H11&lt;&gt;"",H11,MAX(1,SUMIF(Ввод!$G$20:$G$27,"QTY",Ввод!$E$20:$E$27))),IF(N11="Ед. × месяц",IF(H11&lt;&gt;"",H11,MAX(1,SUMIF(Ввод!$G$20:$G$27,"QTY",Ввод!$E$20:$E$27)))*MAX(1,SUMIF(Ввод!$G$20:$G$27,"TERM_MONTHS",Ввод!$E$20:$E$27)),1))))</f>
        <v/>
      </c>
      <c r="P11" s="31" t="str">
        <f>IF(D11="","",F11*O11*IF(SUMIF(Ввод!$G$20:$G$27,"COMPLEXITY",Ввод!$E$20:$E$27)=0,1,SUMIF(Ввод!$G$20:$G$27,"COMPLEXITY",Ввод!$E$20:$E$27))*(1+SUMIF(Ввод!$G$20:$G$27,"RISK_PCT",Ввод!$E$20:$E$27)))</f>
        <v/>
      </c>
      <c r="Q11" s="30" t="str">
        <f t="shared" si="1"/>
        <v/>
      </c>
      <c r="R11" s="30" t="str">
        <f t="shared" si="2"/>
        <v/>
      </c>
      <c r="S11" s="32" t="str">
        <f>IF(D11="","",P11/(Ввод!$B$11*IF(SUMIF(Ввод!$G$20:$G$27,"PARALLEL_FTE",Ввод!$E$20:$E$27)=0,1,SUMIF(Ввод!$G$20:$G$27,"PARALLEL_FTE",Ввод!$E$20:$E$27))))</f>
        <v/>
      </c>
      <c r="T11" s="29" t="str">
        <f t="shared" si="3"/>
        <v/>
      </c>
      <c r="U11" s="28"/>
      <c r="V11" s="28"/>
    </row>
    <row r="12" spans="1:22">
      <c r="A12" s="33"/>
      <c r="B12" s="28"/>
      <c r="C12" s="28"/>
      <c r="D12" s="28"/>
      <c r="E12" s="28"/>
      <c r="F12" s="34"/>
      <c r="G12" s="33" t="s">
        <v>82</v>
      </c>
      <c r="H12" s="33"/>
      <c r="I12" s="35"/>
      <c r="J12" s="35"/>
      <c r="K12" s="29" t="str">
        <f t="shared" si="0"/>
        <v/>
      </c>
      <c r="L12" s="30" t="str">
        <f>IF(D12="","",IF(I12&lt;&gt;"",I12,IFERROR(VLOOKUP(K12,'Справочник ролей'!$A$2:$E$20,4,FALSE),0)))</f>
        <v/>
      </c>
      <c r="M12" s="30" t="str">
        <f>IF(D12="","",IF(J12&lt;&gt;"",J12,IFERROR(VLOOKUP(K12,'Справочник ролей'!$A$2:$E$20,5,FALSE),0)))</f>
        <v/>
      </c>
      <c r="N12" s="29" t="str">
        <f>IF(D12="","",IF(G12&lt;&gt;"Авто",G12,IF(Ввод!$B$13&lt;&gt;"Авто",Ввод!$B$13,IFERROR(VLOOKUP(Ввод!$B$5,'Справочник типов'!$A$2:$I$27,9,FALSE),"Всего"))))</f>
        <v/>
      </c>
      <c r="O12" s="31" t="str">
        <f>IF(D12="","",IF(N12="В месяц",MAX(1,SUMIF(Ввод!$G$20:$G$27,"TERM_MONTHS",Ввод!$E$20:$E$27)),IF(N12="На единицу",IF(H12&lt;&gt;"",H12,MAX(1,SUMIF(Ввод!$G$20:$G$27,"QTY",Ввод!$E$20:$E$27))),IF(N12="Ед. × месяц",IF(H12&lt;&gt;"",H12,MAX(1,SUMIF(Ввод!$G$20:$G$27,"QTY",Ввод!$E$20:$E$27)))*MAX(1,SUMIF(Ввод!$G$20:$G$27,"TERM_MONTHS",Ввод!$E$20:$E$27)),1))))</f>
        <v/>
      </c>
      <c r="P12" s="31" t="str">
        <f>IF(D12="","",F12*O12*IF(SUMIF(Ввод!$G$20:$G$27,"COMPLEXITY",Ввод!$E$20:$E$27)=0,1,SUMIF(Ввод!$G$20:$G$27,"COMPLEXITY",Ввод!$E$20:$E$27))*(1+SUMIF(Ввод!$G$20:$G$27,"RISK_PCT",Ввод!$E$20:$E$27)))</f>
        <v/>
      </c>
      <c r="Q12" s="30" t="str">
        <f t="shared" si="1"/>
        <v/>
      </c>
      <c r="R12" s="30" t="str">
        <f t="shared" si="2"/>
        <v/>
      </c>
      <c r="S12" s="32" t="str">
        <f>IF(D12="","",P12/(Ввод!$B$11*IF(SUMIF(Ввод!$G$20:$G$27,"PARALLEL_FTE",Ввод!$E$20:$E$27)=0,1,SUMIF(Ввод!$G$20:$G$27,"PARALLEL_FTE",Ввод!$E$20:$E$27))))</f>
        <v/>
      </c>
      <c r="T12" s="29" t="str">
        <f t="shared" si="3"/>
        <v/>
      </c>
      <c r="U12" s="28"/>
      <c r="V12" s="28"/>
    </row>
    <row r="13" spans="1:22">
      <c r="A13" s="33"/>
      <c r="B13" s="28"/>
      <c r="C13" s="28"/>
      <c r="D13" s="28"/>
      <c r="E13" s="28"/>
      <c r="F13" s="34"/>
      <c r="G13" s="33" t="s">
        <v>82</v>
      </c>
      <c r="H13" s="33"/>
      <c r="I13" s="35"/>
      <c r="J13" s="35"/>
      <c r="K13" s="29" t="str">
        <f t="shared" si="0"/>
        <v/>
      </c>
      <c r="L13" s="30" t="str">
        <f>IF(D13="","",IF(I13&lt;&gt;"",I13,IFERROR(VLOOKUP(K13,'Справочник ролей'!$A$2:$E$20,4,FALSE),0)))</f>
        <v/>
      </c>
      <c r="M13" s="30" t="str">
        <f>IF(D13="","",IF(J13&lt;&gt;"",J13,IFERROR(VLOOKUP(K13,'Справочник ролей'!$A$2:$E$20,5,FALSE),0)))</f>
        <v/>
      </c>
      <c r="N13" s="29" t="str">
        <f>IF(D13="","",IF(G13&lt;&gt;"Авто",G13,IF(Ввод!$B$13&lt;&gt;"Авто",Ввод!$B$13,IFERROR(VLOOKUP(Ввод!$B$5,'Справочник типов'!$A$2:$I$27,9,FALSE),"Всего"))))</f>
        <v/>
      </c>
      <c r="O13" s="31" t="str">
        <f>IF(D13="","",IF(N13="В месяц",MAX(1,SUMIF(Ввод!$G$20:$G$27,"TERM_MONTHS",Ввод!$E$20:$E$27)),IF(N13="На единицу",IF(H13&lt;&gt;"",H13,MAX(1,SUMIF(Ввод!$G$20:$G$27,"QTY",Ввод!$E$20:$E$27))),IF(N13="Ед. × месяц",IF(H13&lt;&gt;"",H13,MAX(1,SUMIF(Ввод!$G$20:$G$27,"QTY",Ввод!$E$20:$E$27)))*MAX(1,SUMIF(Ввод!$G$20:$G$27,"TERM_MONTHS",Ввод!$E$20:$E$27)),1))))</f>
        <v/>
      </c>
      <c r="P13" s="31" t="str">
        <f>IF(D13="","",F13*O13*IF(SUMIF(Ввод!$G$20:$G$27,"COMPLEXITY",Ввод!$E$20:$E$27)=0,1,SUMIF(Ввод!$G$20:$G$27,"COMPLEXITY",Ввод!$E$20:$E$27))*(1+SUMIF(Ввод!$G$20:$G$27,"RISK_PCT",Ввод!$E$20:$E$27)))</f>
        <v/>
      </c>
      <c r="Q13" s="30" t="str">
        <f t="shared" si="1"/>
        <v/>
      </c>
      <c r="R13" s="30" t="str">
        <f t="shared" si="2"/>
        <v/>
      </c>
      <c r="S13" s="32" t="str">
        <f>IF(D13="","",P13/(Ввод!$B$11*IF(SUMIF(Ввод!$G$20:$G$27,"PARALLEL_FTE",Ввод!$E$20:$E$27)=0,1,SUMIF(Ввод!$G$20:$G$27,"PARALLEL_FTE",Ввод!$E$20:$E$27))))</f>
        <v/>
      </c>
      <c r="T13" s="29" t="str">
        <f t="shared" si="3"/>
        <v/>
      </c>
      <c r="U13" s="28"/>
      <c r="V13" s="28"/>
    </row>
    <row r="14" spans="1:22">
      <c r="A14" s="33"/>
      <c r="B14" s="28"/>
      <c r="C14" s="28"/>
      <c r="D14" s="28"/>
      <c r="E14" s="28"/>
      <c r="F14" s="34"/>
      <c r="G14" s="33" t="s">
        <v>82</v>
      </c>
      <c r="H14" s="33"/>
      <c r="I14" s="35"/>
      <c r="J14" s="35"/>
      <c r="K14" s="29" t="str">
        <f t="shared" si="0"/>
        <v/>
      </c>
      <c r="L14" s="30" t="str">
        <f>IF(D14="","",IF(I14&lt;&gt;"",I14,IFERROR(VLOOKUP(K14,'Справочник ролей'!$A$2:$E$20,4,FALSE),0)))</f>
        <v/>
      </c>
      <c r="M14" s="30" t="str">
        <f>IF(D14="","",IF(J14&lt;&gt;"",J14,IFERROR(VLOOKUP(K14,'Справочник ролей'!$A$2:$E$20,5,FALSE),0)))</f>
        <v/>
      </c>
      <c r="N14" s="29" t="str">
        <f>IF(D14="","",IF(G14&lt;&gt;"Авто",G14,IF(Ввод!$B$13&lt;&gt;"Авто",Ввод!$B$13,IFERROR(VLOOKUP(Ввод!$B$5,'Справочник типов'!$A$2:$I$27,9,FALSE),"Всего"))))</f>
        <v/>
      </c>
      <c r="O14" s="31" t="str">
        <f>IF(D14="","",IF(N14="В месяц",MAX(1,SUMIF(Ввод!$G$20:$G$27,"TERM_MONTHS",Ввод!$E$20:$E$27)),IF(N14="На единицу",IF(H14&lt;&gt;"",H14,MAX(1,SUMIF(Ввод!$G$20:$G$27,"QTY",Ввод!$E$20:$E$27))),IF(N14="Ед. × месяц",IF(H14&lt;&gt;"",H14,MAX(1,SUMIF(Ввод!$G$20:$G$27,"QTY",Ввод!$E$20:$E$27)))*MAX(1,SUMIF(Ввод!$G$20:$G$27,"TERM_MONTHS",Ввод!$E$20:$E$27)),1))))</f>
        <v/>
      </c>
      <c r="P14" s="31" t="str">
        <f>IF(D14="","",F14*O14*IF(SUMIF(Ввод!$G$20:$G$27,"COMPLEXITY",Ввод!$E$20:$E$27)=0,1,SUMIF(Ввод!$G$20:$G$27,"COMPLEXITY",Ввод!$E$20:$E$27))*(1+SUMIF(Ввод!$G$20:$G$27,"RISK_PCT",Ввод!$E$20:$E$27)))</f>
        <v/>
      </c>
      <c r="Q14" s="30" t="str">
        <f t="shared" si="1"/>
        <v/>
      </c>
      <c r="R14" s="30" t="str">
        <f t="shared" si="2"/>
        <v/>
      </c>
      <c r="S14" s="32" t="str">
        <f>IF(D14="","",P14/(Ввод!$B$11*IF(SUMIF(Ввод!$G$20:$G$27,"PARALLEL_FTE",Ввод!$E$20:$E$27)=0,1,SUMIF(Ввод!$G$20:$G$27,"PARALLEL_FTE",Ввод!$E$20:$E$27))))</f>
        <v/>
      </c>
      <c r="T14" s="29" t="str">
        <f t="shared" si="3"/>
        <v/>
      </c>
      <c r="U14" s="28"/>
      <c r="V14" s="28"/>
    </row>
    <row r="15" spans="1:22">
      <c r="A15" s="33"/>
      <c r="B15" s="28"/>
      <c r="C15" s="28"/>
      <c r="D15" s="28"/>
      <c r="E15" s="28"/>
      <c r="F15" s="34"/>
      <c r="G15" s="33" t="s">
        <v>82</v>
      </c>
      <c r="H15" s="33"/>
      <c r="I15" s="35"/>
      <c r="J15" s="35"/>
      <c r="K15" s="29" t="str">
        <f t="shared" si="0"/>
        <v/>
      </c>
      <c r="L15" s="30" t="str">
        <f>IF(D15="","",IF(I15&lt;&gt;"",I15,IFERROR(VLOOKUP(K15,'Справочник ролей'!$A$2:$E$20,4,FALSE),0)))</f>
        <v/>
      </c>
      <c r="M15" s="30" t="str">
        <f>IF(D15="","",IF(J15&lt;&gt;"",J15,IFERROR(VLOOKUP(K15,'Справочник ролей'!$A$2:$E$20,5,FALSE),0)))</f>
        <v/>
      </c>
      <c r="N15" s="29" t="str">
        <f>IF(D15="","",IF(G15&lt;&gt;"Авто",G15,IF(Ввод!$B$13&lt;&gt;"Авто",Ввод!$B$13,IFERROR(VLOOKUP(Ввод!$B$5,'Справочник типов'!$A$2:$I$27,9,FALSE),"Всего"))))</f>
        <v/>
      </c>
      <c r="O15" s="31" t="str">
        <f>IF(D15="","",IF(N15="В месяц",MAX(1,SUMIF(Ввод!$G$20:$G$27,"TERM_MONTHS",Ввод!$E$20:$E$27)),IF(N15="На единицу",IF(H15&lt;&gt;"",H15,MAX(1,SUMIF(Ввод!$G$20:$G$27,"QTY",Ввод!$E$20:$E$27))),IF(N15="Ед. × месяц",IF(H15&lt;&gt;"",H15,MAX(1,SUMIF(Ввод!$G$20:$G$27,"QTY",Ввод!$E$20:$E$27)))*MAX(1,SUMIF(Ввод!$G$20:$G$27,"TERM_MONTHS",Ввод!$E$20:$E$27)),1))))</f>
        <v/>
      </c>
      <c r="P15" s="31" t="str">
        <f>IF(D15="","",F15*O15*IF(SUMIF(Ввод!$G$20:$G$27,"COMPLEXITY",Ввод!$E$20:$E$27)=0,1,SUMIF(Ввод!$G$20:$G$27,"COMPLEXITY",Ввод!$E$20:$E$27))*(1+SUMIF(Ввод!$G$20:$G$27,"RISK_PCT",Ввод!$E$20:$E$27)))</f>
        <v/>
      </c>
      <c r="Q15" s="30" t="str">
        <f t="shared" si="1"/>
        <v/>
      </c>
      <c r="R15" s="30" t="str">
        <f t="shared" si="2"/>
        <v/>
      </c>
      <c r="S15" s="32" t="str">
        <f>IF(D15="","",P15/(Ввод!$B$11*IF(SUMIF(Ввод!$G$20:$G$27,"PARALLEL_FTE",Ввод!$E$20:$E$27)=0,1,SUMIF(Ввод!$G$20:$G$27,"PARALLEL_FTE",Ввод!$E$20:$E$27))))</f>
        <v/>
      </c>
      <c r="T15" s="29" t="str">
        <f t="shared" si="3"/>
        <v/>
      </c>
      <c r="U15" s="28"/>
      <c r="V15" s="28"/>
    </row>
    <row r="16" spans="1:22">
      <c r="A16" s="33"/>
      <c r="B16" s="28"/>
      <c r="C16" s="28"/>
      <c r="D16" s="28"/>
      <c r="E16" s="28"/>
      <c r="F16" s="34"/>
      <c r="G16" s="33" t="s">
        <v>82</v>
      </c>
      <c r="H16" s="33"/>
      <c r="I16" s="35"/>
      <c r="J16" s="35"/>
      <c r="K16" s="29" t="str">
        <f t="shared" si="0"/>
        <v/>
      </c>
      <c r="L16" s="30" t="str">
        <f>IF(D16="","",IF(I16&lt;&gt;"",I16,IFERROR(VLOOKUP(K16,'Справочник ролей'!$A$2:$E$20,4,FALSE),0)))</f>
        <v/>
      </c>
      <c r="M16" s="30" t="str">
        <f>IF(D16="","",IF(J16&lt;&gt;"",J16,IFERROR(VLOOKUP(K16,'Справочник ролей'!$A$2:$E$20,5,FALSE),0)))</f>
        <v/>
      </c>
      <c r="N16" s="29" t="str">
        <f>IF(D16="","",IF(G16&lt;&gt;"Авто",G16,IF(Ввод!$B$13&lt;&gt;"Авто",Ввод!$B$13,IFERROR(VLOOKUP(Ввод!$B$5,'Справочник типов'!$A$2:$I$27,9,FALSE),"Всего"))))</f>
        <v/>
      </c>
      <c r="O16" s="31" t="str">
        <f>IF(D16="","",IF(N16="В месяц",MAX(1,SUMIF(Ввод!$G$20:$G$27,"TERM_MONTHS",Ввод!$E$20:$E$27)),IF(N16="На единицу",IF(H16&lt;&gt;"",H16,MAX(1,SUMIF(Ввод!$G$20:$G$27,"QTY",Ввод!$E$20:$E$27))),IF(N16="Ед. × месяц",IF(H16&lt;&gt;"",H16,MAX(1,SUMIF(Ввод!$G$20:$G$27,"QTY",Ввод!$E$20:$E$27)))*MAX(1,SUMIF(Ввод!$G$20:$G$27,"TERM_MONTHS",Ввод!$E$20:$E$27)),1))))</f>
        <v/>
      </c>
      <c r="P16" s="31" t="str">
        <f>IF(D16="","",F16*O16*IF(SUMIF(Ввод!$G$20:$G$27,"COMPLEXITY",Ввод!$E$20:$E$27)=0,1,SUMIF(Ввод!$G$20:$G$27,"COMPLEXITY",Ввод!$E$20:$E$27))*(1+SUMIF(Ввод!$G$20:$G$27,"RISK_PCT",Ввод!$E$20:$E$27)))</f>
        <v/>
      </c>
      <c r="Q16" s="30" t="str">
        <f t="shared" si="1"/>
        <v/>
      </c>
      <c r="R16" s="30" t="str">
        <f t="shared" si="2"/>
        <v/>
      </c>
      <c r="S16" s="32" t="str">
        <f>IF(D16="","",P16/(Ввод!$B$11*IF(SUMIF(Ввод!$G$20:$G$27,"PARALLEL_FTE",Ввод!$E$20:$E$27)=0,1,SUMIF(Ввод!$G$20:$G$27,"PARALLEL_FTE",Ввод!$E$20:$E$27))))</f>
        <v/>
      </c>
      <c r="T16" s="29" t="str">
        <f t="shared" si="3"/>
        <v/>
      </c>
      <c r="U16" s="28"/>
      <c r="V16" s="28"/>
    </row>
    <row r="17" spans="1:22">
      <c r="A17" s="33"/>
      <c r="B17" s="28"/>
      <c r="C17" s="28"/>
      <c r="D17" s="28"/>
      <c r="E17" s="28"/>
      <c r="F17" s="34"/>
      <c r="G17" s="33" t="s">
        <v>82</v>
      </c>
      <c r="H17" s="33"/>
      <c r="I17" s="35"/>
      <c r="J17" s="35"/>
      <c r="K17" s="29" t="str">
        <f t="shared" si="0"/>
        <v/>
      </c>
      <c r="L17" s="30" t="str">
        <f>IF(D17="","",IF(I17&lt;&gt;"",I17,IFERROR(VLOOKUP(K17,'Справочник ролей'!$A$2:$E$20,4,FALSE),0)))</f>
        <v/>
      </c>
      <c r="M17" s="30" t="str">
        <f>IF(D17="","",IF(J17&lt;&gt;"",J17,IFERROR(VLOOKUP(K17,'Справочник ролей'!$A$2:$E$20,5,FALSE),0)))</f>
        <v/>
      </c>
      <c r="N17" s="29" t="str">
        <f>IF(D17="","",IF(G17&lt;&gt;"Авто",G17,IF(Ввод!$B$13&lt;&gt;"Авто",Ввод!$B$13,IFERROR(VLOOKUP(Ввод!$B$5,'Справочник типов'!$A$2:$I$27,9,FALSE),"Всего"))))</f>
        <v/>
      </c>
      <c r="O17" s="31" t="str">
        <f>IF(D17="","",IF(N17="В месяц",MAX(1,SUMIF(Ввод!$G$20:$G$27,"TERM_MONTHS",Ввод!$E$20:$E$27)),IF(N17="На единицу",IF(H17&lt;&gt;"",H17,MAX(1,SUMIF(Ввод!$G$20:$G$27,"QTY",Ввод!$E$20:$E$27))),IF(N17="Ед. × месяц",IF(H17&lt;&gt;"",H17,MAX(1,SUMIF(Ввод!$G$20:$G$27,"QTY",Ввод!$E$20:$E$27)))*MAX(1,SUMIF(Ввод!$G$20:$G$27,"TERM_MONTHS",Ввод!$E$20:$E$27)),1))))</f>
        <v/>
      </c>
      <c r="P17" s="31" t="str">
        <f>IF(D17="","",F17*O17*IF(SUMIF(Ввод!$G$20:$G$27,"COMPLEXITY",Ввод!$E$20:$E$27)=0,1,SUMIF(Ввод!$G$20:$G$27,"COMPLEXITY",Ввод!$E$20:$E$27))*(1+SUMIF(Ввод!$G$20:$G$27,"RISK_PCT",Ввод!$E$20:$E$27)))</f>
        <v/>
      </c>
      <c r="Q17" s="30" t="str">
        <f t="shared" si="1"/>
        <v/>
      </c>
      <c r="R17" s="30" t="str">
        <f t="shared" si="2"/>
        <v/>
      </c>
      <c r="S17" s="32" t="str">
        <f>IF(D17="","",P17/(Ввод!$B$11*IF(SUMIF(Ввод!$G$20:$G$27,"PARALLEL_FTE",Ввод!$E$20:$E$27)=0,1,SUMIF(Ввод!$G$20:$G$27,"PARALLEL_FTE",Ввод!$E$20:$E$27))))</f>
        <v/>
      </c>
      <c r="T17" s="29" t="str">
        <f t="shared" si="3"/>
        <v/>
      </c>
      <c r="U17" s="28"/>
      <c r="V17" s="28"/>
    </row>
    <row r="18" spans="1:22">
      <c r="A18" s="33"/>
      <c r="B18" s="28"/>
      <c r="C18" s="28"/>
      <c r="D18" s="28"/>
      <c r="E18" s="28"/>
      <c r="F18" s="34"/>
      <c r="G18" s="33" t="s">
        <v>82</v>
      </c>
      <c r="H18" s="33"/>
      <c r="I18" s="35"/>
      <c r="J18" s="35"/>
      <c r="K18" s="29" t="str">
        <f t="shared" si="0"/>
        <v/>
      </c>
      <c r="L18" s="30" t="str">
        <f>IF(D18="","",IF(I18&lt;&gt;"",I18,IFERROR(VLOOKUP(K18,'Справочник ролей'!$A$2:$E$20,4,FALSE),0)))</f>
        <v/>
      </c>
      <c r="M18" s="30" t="str">
        <f>IF(D18="","",IF(J18&lt;&gt;"",J18,IFERROR(VLOOKUP(K18,'Справочник ролей'!$A$2:$E$20,5,FALSE),0)))</f>
        <v/>
      </c>
      <c r="N18" s="29" t="str">
        <f>IF(D18="","",IF(G18&lt;&gt;"Авто",G18,IF(Ввод!$B$13&lt;&gt;"Авто",Ввод!$B$13,IFERROR(VLOOKUP(Ввод!$B$5,'Справочник типов'!$A$2:$I$27,9,FALSE),"Всего"))))</f>
        <v/>
      </c>
      <c r="O18" s="31" t="str">
        <f>IF(D18="","",IF(N18="В месяц",MAX(1,SUMIF(Ввод!$G$20:$G$27,"TERM_MONTHS",Ввод!$E$20:$E$27)),IF(N18="На единицу",IF(H18&lt;&gt;"",H18,MAX(1,SUMIF(Ввод!$G$20:$G$27,"QTY",Ввод!$E$20:$E$27))),IF(N18="Ед. × месяц",IF(H18&lt;&gt;"",H18,MAX(1,SUMIF(Ввод!$G$20:$G$27,"QTY",Ввод!$E$20:$E$27)))*MAX(1,SUMIF(Ввод!$G$20:$G$27,"TERM_MONTHS",Ввод!$E$20:$E$27)),1))))</f>
        <v/>
      </c>
      <c r="P18" s="31" t="str">
        <f>IF(D18="","",F18*O18*IF(SUMIF(Ввод!$G$20:$G$27,"COMPLEXITY",Ввод!$E$20:$E$27)=0,1,SUMIF(Ввод!$G$20:$G$27,"COMPLEXITY",Ввод!$E$20:$E$27))*(1+SUMIF(Ввод!$G$20:$G$27,"RISK_PCT",Ввод!$E$20:$E$27)))</f>
        <v/>
      </c>
      <c r="Q18" s="30" t="str">
        <f t="shared" si="1"/>
        <v/>
      </c>
      <c r="R18" s="30" t="str">
        <f t="shared" si="2"/>
        <v/>
      </c>
      <c r="S18" s="32" t="str">
        <f>IF(D18="","",P18/(Ввод!$B$11*IF(SUMIF(Ввод!$G$20:$G$27,"PARALLEL_FTE",Ввод!$E$20:$E$27)=0,1,SUMIF(Ввод!$G$20:$G$27,"PARALLEL_FTE",Ввод!$E$20:$E$27))))</f>
        <v/>
      </c>
      <c r="T18" s="29" t="str">
        <f t="shared" si="3"/>
        <v/>
      </c>
      <c r="U18" s="28"/>
      <c r="V18" s="28"/>
    </row>
    <row r="19" spans="1:22">
      <c r="A19" s="33"/>
      <c r="B19" s="28"/>
      <c r="C19" s="28"/>
      <c r="D19" s="28"/>
      <c r="E19" s="28"/>
      <c r="F19" s="34"/>
      <c r="G19" s="33" t="s">
        <v>82</v>
      </c>
      <c r="H19" s="33"/>
      <c r="I19" s="35"/>
      <c r="J19" s="35"/>
      <c r="K19" s="29" t="str">
        <f t="shared" si="0"/>
        <v/>
      </c>
      <c r="L19" s="30" t="str">
        <f>IF(D19="","",IF(I19&lt;&gt;"",I19,IFERROR(VLOOKUP(K19,'Справочник ролей'!$A$2:$E$20,4,FALSE),0)))</f>
        <v/>
      </c>
      <c r="M19" s="30" t="str">
        <f>IF(D19="","",IF(J19&lt;&gt;"",J19,IFERROR(VLOOKUP(K19,'Справочник ролей'!$A$2:$E$20,5,FALSE),0)))</f>
        <v/>
      </c>
      <c r="N19" s="29" t="str">
        <f>IF(D19="","",IF(G19&lt;&gt;"Авто",G19,IF(Ввод!$B$13&lt;&gt;"Авто",Ввод!$B$13,IFERROR(VLOOKUP(Ввод!$B$5,'Справочник типов'!$A$2:$I$27,9,FALSE),"Всего"))))</f>
        <v/>
      </c>
      <c r="O19" s="31" t="str">
        <f>IF(D19="","",IF(N19="В месяц",MAX(1,SUMIF(Ввод!$G$20:$G$27,"TERM_MONTHS",Ввод!$E$20:$E$27)),IF(N19="На единицу",IF(H19&lt;&gt;"",H19,MAX(1,SUMIF(Ввод!$G$20:$G$27,"QTY",Ввод!$E$20:$E$27))),IF(N19="Ед. × месяц",IF(H19&lt;&gt;"",H19,MAX(1,SUMIF(Ввод!$G$20:$G$27,"QTY",Ввод!$E$20:$E$27)))*MAX(1,SUMIF(Ввод!$G$20:$G$27,"TERM_MONTHS",Ввод!$E$20:$E$27)),1))))</f>
        <v/>
      </c>
      <c r="P19" s="31" t="str">
        <f>IF(D19="","",F19*O19*IF(SUMIF(Ввод!$G$20:$G$27,"COMPLEXITY",Ввод!$E$20:$E$27)=0,1,SUMIF(Ввод!$G$20:$G$27,"COMPLEXITY",Ввод!$E$20:$E$27))*(1+SUMIF(Ввод!$G$20:$G$27,"RISK_PCT",Ввод!$E$20:$E$27)))</f>
        <v/>
      </c>
      <c r="Q19" s="30" t="str">
        <f t="shared" si="1"/>
        <v/>
      </c>
      <c r="R19" s="30" t="str">
        <f t="shared" si="2"/>
        <v/>
      </c>
      <c r="S19" s="32" t="str">
        <f>IF(D19="","",P19/(Ввод!$B$11*IF(SUMIF(Ввод!$G$20:$G$27,"PARALLEL_FTE",Ввод!$E$20:$E$27)=0,1,SUMIF(Ввод!$G$20:$G$27,"PARALLEL_FTE",Ввод!$E$20:$E$27))))</f>
        <v/>
      </c>
      <c r="T19" s="29" t="str">
        <f t="shared" si="3"/>
        <v/>
      </c>
      <c r="U19" s="28"/>
      <c r="V19" s="28"/>
    </row>
    <row r="20" spans="1:22">
      <c r="A20" s="33"/>
      <c r="B20" s="28"/>
      <c r="C20" s="28"/>
      <c r="D20" s="28"/>
      <c r="E20" s="28"/>
      <c r="F20" s="34"/>
      <c r="G20" s="33" t="s">
        <v>82</v>
      </c>
      <c r="H20" s="33"/>
      <c r="I20" s="35"/>
      <c r="J20" s="35"/>
      <c r="K20" s="29" t="str">
        <f t="shared" si="0"/>
        <v/>
      </c>
      <c r="L20" s="30" t="str">
        <f>IF(D20="","",IF(I20&lt;&gt;"",I20,IFERROR(VLOOKUP(K20,'Справочник ролей'!$A$2:$E$20,4,FALSE),0)))</f>
        <v/>
      </c>
      <c r="M20" s="30" t="str">
        <f>IF(D20="","",IF(J20&lt;&gt;"",J20,IFERROR(VLOOKUP(K20,'Справочник ролей'!$A$2:$E$20,5,FALSE),0)))</f>
        <v/>
      </c>
      <c r="N20" s="29" t="str">
        <f>IF(D20="","",IF(G20&lt;&gt;"Авто",G20,IF(Ввод!$B$13&lt;&gt;"Авто",Ввод!$B$13,IFERROR(VLOOKUP(Ввод!$B$5,'Справочник типов'!$A$2:$I$27,9,FALSE),"Всего"))))</f>
        <v/>
      </c>
      <c r="O20" s="31" t="str">
        <f>IF(D20="","",IF(N20="В месяц",MAX(1,SUMIF(Ввод!$G$20:$G$27,"TERM_MONTHS",Ввод!$E$20:$E$27)),IF(N20="На единицу",IF(H20&lt;&gt;"",H20,MAX(1,SUMIF(Ввод!$G$20:$G$27,"QTY",Ввод!$E$20:$E$27))),IF(N20="Ед. × месяц",IF(H20&lt;&gt;"",H20,MAX(1,SUMIF(Ввод!$G$20:$G$27,"QTY",Ввод!$E$20:$E$27)))*MAX(1,SUMIF(Ввод!$G$20:$G$27,"TERM_MONTHS",Ввод!$E$20:$E$27)),1))))</f>
        <v/>
      </c>
      <c r="P20" s="31" t="str">
        <f>IF(D20="","",F20*O20*IF(SUMIF(Ввод!$G$20:$G$27,"COMPLEXITY",Ввод!$E$20:$E$27)=0,1,SUMIF(Ввод!$G$20:$G$27,"COMPLEXITY",Ввод!$E$20:$E$27))*(1+SUMIF(Ввод!$G$20:$G$27,"RISK_PCT",Ввод!$E$20:$E$27)))</f>
        <v/>
      </c>
      <c r="Q20" s="30" t="str">
        <f t="shared" si="1"/>
        <v/>
      </c>
      <c r="R20" s="30" t="str">
        <f t="shared" si="2"/>
        <v/>
      </c>
      <c r="S20" s="32" t="str">
        <f>IF(D20="","",P20/(Ввод!$B$11*IF(SUMIF(Ввод!$G$20:$G$27,"PARALLEL_FTE",Ввод!$E$20:$E$27)=0,1,SUMIF(Ввод!$G$20:$G$27,"PARALLEL_FTE",Ввод!$E$20:$E$27))))</f>
        <v/>
      </c>
      <c r="T20" s="29" t="str">
        <f t="shared" si="3"/>
        <v/>
      </c>
      <c r="U20" s="28"/>
      <c r="V20" s="28"/>
    </row>
    <row r="21" spans="1:22">
      <c r="A21" s="33"/>
      <c r="B21" s="28"/>
      <c r="C21" s="28"/>
      <c r="D21" s="28"/>
      <c r="E21" s="28"/>
      <c r="F21" s="34"/>
      <c r="G21" s="33" t="s">
        <v>82</v>
      </c>
      <c r="H21" s="33"/>
      <c r="I21" s="35"/>
      <c r="J21" s="35"/>
      <c r="K21" s="29" t="str">
        <f t="shared" si="0"/>
        <v/>
      </c>
      <c r="L21" s="30" t="str">
        <f>IF(D21="","",IF(I21&lt;&gt;"",I21,IFERROR(VLOOKUP(K21,'Справочник ролей'!$A$2:$E$20,4,FALSE),0)))</f>
        <v/>
      </c>
      <c r="M21" s="30" t="str">
        <f>IF(D21="","",IF(J21&lt;&gt;"",J21,IFERROR(VLOOKUP(K21,'Справочник ролей'!$A$2:$E$20,5,FALSE),0)))</f>
        <v/>
      </c>
      <c r="N21" s="29" t="str">
        <f>IF(D21="","",IF(G21&lt;&gt;"Авто",G21,IF(Ввод!$B$13&lt;&gt;"Авто",Ввод!$B$13,IFERROR(VLOOKUP(Ввод!$B$5,'Справочник типов'!$A$2:$I$27,9,FALSE),"Всего"))))</f>
        <v/>
      </c>
      <c r="O21" s="31" t="str">
        <f>IF(D21="","",IF(N21="В месяц",MAX(1,SUMIF(Ввод!$G$20:$G$27,"TERM_MONTHS",Ввод!$E$20:$E$27)),IF(N21="На единицу",IF(H21&lt;&gt;"",H21,MAX(1,SUMIF(Ввод!$G$20:$G$27,"QTY",Ввод!$E$20:$E$27))),IF(N21="Ед. × месяц",IF(H21&lt;&gt;"",H21,MAX(1,SUMIF(Ввод!$G$20:$G$27,"QTY",Ввод!$E$20:$E$27)))*MAX(1,SUMIF(Ввод!$G$20:$G$27,"TERM_MONTHS",Ввод!$E$20:$E$27)),1))))</f>
        <v/>
      </c>
      <c r="P21" s="31" t="str">
        <f>IF(D21="","",F21*O21*IF(SUMIF(Ввод!$G$20:$G$27,"COMPLEXITY",Ввод!$E$20:$E$27)=0,1,SUMIF(Ввод!$G$20:$G$27,"COMPLEXITY",Ввод!$E$20:$E$27))*(1+SUMIF(Ввод!$G$20:$G$27,"RISK_PCT",Ввод!$E$20:$E$27)))</f>
        <v/>
      </c>
      <c r="Q21" s="30" t="str">
        <f t="shared" si="1"/>
        <v/>
      </c>
      <c r="R21" s="30" t="str">
        <f t="shared" si="2"/>
        <v/>
      </c>
      <c r="S21" s="32" t="str">
        <f>IF(D21="","",P21/(Ввод!$B$11*IF(SUMIF(Ввод!$G$20:$G$27,"PARALLEL_FTE",Ввод!$E$20:$E$27)=0,1,SUMIF(Ввод!$G$20:$G$27,"PARALLEL_FTE",Ввод!$E$20:$E$27))))</f>
        <v/>
      </c>
      <c r="T21" s="29" t="str">
        <f t="shared" si="3"/>
        <v/>
      </c>
      <c r="U21" s="28"/>
      <c r="V21" s="28"/>
    </row>
    <row r="22" spans="1:22">
      <c r="A22" s="33"/>
      <c r="B22" s="28"/>
      <c r="C22" s="28"/>
      <c r="D22" s="28"/>
      <c r="E22" s="28"/>
      <c r="F22" s="34"/>
      <c r="G22" s="33" t="s">
        <v>82</v>
      </c>
      <c r="H22" s="33"/>
      <c r="I22" s="35"/>
      <c r="J22" s="35"/>
      <c r="K22" s="29" t="str">
        <f t="shared" si="0"/>
        <v/>
      </c>
      <c r="L22" s="30" t="str">
        <f>IF(D22="","",IF(I22&lt;&gt;"",I22,IFERROR(VLOOKUP(K22,'Справочник ролей'!$A$2:$E$20,4,FALSE),0)))</f>
        <v/>
      </c>
      <c r="M22" s="30" t="str">
        <f>IF(D22="","",IF(J22&lt;&gt;"",J22,IFERROR(VLOOKUP(K22,'Справочник ролей'!$A$2:$E$20,5,FALSE),0)))</f>
        <v/>
      </c>
      <c r="N22" s="29" t="str">
        <f>IF(D22="","",IF(G22&lt;&gt;"Авто",G22,IF(Ввод!$B$13&lt;&gt;"Авто",Ввод!$B$13,IFERROR(VLOOKUP(Ввод!$B$5,'Справочник типов'!$A$2:$I$27,9,FALSE),"Всего"))))</f>
        <v/>
      </c>
      <c r="O22" s="31" t="str">
        <f>IF(D22="","",IF(N22="В месяц",MAX(1,SUMIF(Ввод!$G$20:$G$27,"TERM_MONTHS",Ввод!$E$20:$E$27)),IF(N22="На единицу",IF(H22&lt;&gt;"",H22,MAX(1,SUMIF(Ввод!$G$20:$G$27,"QTY",Ввод!$E$20:$E$27))),IF(N22="Ед. × месяц",IF(H22&lt;&gt;"",H22,MAX(1,SUMIF(Ввод!$G$20:$G$27,"QTY",Ввод!$E$20:$E$27)))*MAX(1,SUMIF(Ввод!$G$20:$G$27,"TERM_MONTHS",Ввод!$E$20:$E$27)),1))))</f>
        <v/>
      </c>
      <c r="P22" s="31" t="str">
        <f>IF(D22="","",F22*O22*IF(SUMIF(Ввод!$G$20:$G$27,"COMPLEXITY",Ввод!$E$20:$E$27)=0,1,SUMIF(Ввод!$G$20:$G$27,"COMPLEXITY",Ввод!$E$20:$E$27))*(1+SUMIF(Ввод!$G$20:$G$27,"RISK_PCT",Ввод!$E$20:$E$27)))</f>
        <v/>
      </c>
      <c r="Q22" s="30" t="str">
        <f t="shared" si="1"/>
        <v/>
      </c>
      <c r="R22" s="30" t="str">
        <f t="shared" si="2"/>
        <v/>
      </c>
      <c r="S22" s="32" t="str">
        <f>IF(D22="","",P22/(Ввод!$B$11*IF(SUMIF(Ввод!$G$20:$G$27,"PARALLEL_FTE",Ввод!$E$20:$E$27)=0,1,SUMIF(Ввод!$G$20:$G$27,"PARALLEL_FTE",Ввод!$E$20:$E$27))))</f>
        <v/>
      </c>
      <c r="T22" s="29" t="str">
        <f t="shared" si="3"/>
        <v/>
      </c>
      <c r="U22" s="28"/>
      <c r="V22" s="28"/>
    </row>
    <row r="23" spans="1:22">
      <c r="A23" s="33"/>
      <c r="B23" s="28"/>
      <c r="C23" s="28"/>
      <c r="D23" s="28"/>
      <c r="E23" s="28"/>
      <c r="F23" s="34"/>
      <c r="G23" s="33" t="s">
        <v>82</v>
      </c>
      <c r="H23" s="33"/>
      <c r="I23" s="35"/>
      <c r="J23" s="35"/>
      <c r="K23" s="29" t="str">
        <f t="shared" si="0"/>
        <v/>
      </c>
      <c r="L23" s="30" t="str">
        <f>IF(D23="","",IF(I23&lt;&gt;"",I23,IFERROR(VLOOKUP(K23,'Справочник ролей'!$A$2:$E$20,4,FALSE),0)))</f>
        <v/>
      </c>
      <c r="M23" s="30" t="str">
        <f>IF(D23="","",IF(J23&lt;&gt;"",J23,IFERROR(VLOOKUP(K23,'Справочник ролей'!$A$2:$E$20,5,FALSE),0)))</f>
        <v/>
      </c>
      <c r="N23" s="29" t="str">
        <f>IF(D23="","",IF(G23&lt;&gt;"Авто",G23,IF(Ввод!$B$13&lt;&gt;"Авто",Ввод!$B$13,IFERROR(VLOOKUP(Ввод!$B$5,'Справочник типов'!$A$2:$I$27,9,FALSE),"Всего"))))</f>
        <v/>
      </c>
      <c r="O23" s="31" t="str">
        <f>IF(D23="","",IF(N23="В месяц",MAX(1,SUMIF(Ввод!$G$20:$G$27,"TERM_MONTHS",Ввод!$E$20:$E$27)),IF(N23="На единицу",IF(H23&lt;&gt;"",H23,MAX(1,SUMIF(Ввод!$G$20:$G$27,"QTY",Ввод!$E$20:$E$27))),IF(N23="Ед. × месяц",IF(H23&lt;&gt;"",H23,MAX(1,SUMIF(Ввод!$G$20:$G$27,"QTY",Ввод!$E$20:$E$27)))*MAX(1,SUMIF(Ввод!$G$20:$G$27,"TERM_MONTHS",Ввод!$E$20:$E$27)),1))))</f>
        <v/>
      </c>
      <c r="P23" s="31" t="str">
        <f>IF(D23="","",F23*O23*IF(SUMIF(Ввод!$G$20:$G$27,"COMPLEXITY",Ввод!$E$20:$E$27)=0,1,SUMIF(Ввод!$G$20:$G$27,"COMPLEXITY",Ввод!$E$20:$E$27))*(1+SUMIF(Ввод!$G$20:$G$27,"RISK_PCT",Ввод!$E$20:$E$27)))</f>
        <v/>
      </c>
      <c r="Q23" s="30" t="str">
        <f t="shared" si="1"/>
        <v/>
      </c>
      <c r="R23" s="30" t="str">
        <f t="shared" si="2"/>
        <v/>
      </c>
      <c r="S23" s="32" t="str">
        <f>IF(D23="","",P23/(Ввод!$B$11*IF(SUMIF(Ввод!$G$20:$G$27,"PARALLEL_FTE",Ввод!$E$20:$E$27)=0,1,SUMIF(Ввод!$G$20:$G$27,"PARALLEL_FTE",Ввод!$E$20:$E$27))))</f>
        <v/>
      </c>
      <c r="T23" s="29" t="str">
        <f t="shared" si="3"/>
        <v/>
      </c>
      <c r="U23" s="28"/>
      <c r="V23" s="28"/>
    </row>
    <row r="24" spans="1:22">
      <c r="A24" s="33"/>
      <c r="B24" s="28"/>
      <c r="C24" s="28"/>
      <c r="D24" s="28"/>
      <c r="E24" s="28"/>
      <c r="F24" s="34"/>
      <c r="G24" s="33" t="s">
        <v>82</v>
      </c>
      <c r="H24" s="33"/>
      <c r="I24" s="35"/>
      <c r="J24" s="35"/>
      <c r="K24" s="29" t="str">
        <f t="shared" si="0"/>
        <v/>
      </c>
      <c r="L24" s="30" t="str">
        <f>IF(D24="","",IF(I24&lt;&gt;"",I24,IFERROR(VLOOKUP(K24,'Справочник ролей'!$A$2:$E$20,4,FALSE),0)))</f>
        <v/>
      </c>
      <c r="M24" s="30" t="str">
        <f>IF(D24="","",IF(J24&lt;&gt;"",J24,IFERROR(VLOOKUP(K24,'Справочник ролей'!$A$2:$E$20,5,FALSE),0)))</f>
        <v/>
      </c>
      <c r="N24" s="29" t="str">
        <f>IF(D24="","",IF(G24&lt;&gt;"Авто",G24,IF(Ввод!$B$13&lt;&gt;"Авто",Ввод!$B$13,IFERROR(VLOOKUP(Ввод!$B$5,'Справочник типов'!$A$2:$I$27,9,FALSE),"Всего"))))</f>
        <v/>
      </c>
      <c r="O24" s="31" t="str">
        <f>IF(D24="","",IF(N24="В месяц",MAX(1,SUMIF(Ввод!$G$20:$G$27,"TERM_MONTHS",Ввод!$E$20:$E$27)),IF(N24="На единицу",IF(H24&lt;&gt;"",H24,MAX(1,SUMIF(Ввод!$G$20:$G$27,"QTY",Ввод!$E$20:$E$27))),IF(N24="Ед. × месяц",IF(H24&lt;&gt;"",H24,MAX(1,SUMIF(Ввод!$G$20:$G$27,"QTY",Ввод!$E$20:$E$27)))*MAX(1,SUMIF(Ввод!$G$20:$G$27,"TERM_MONTHS",Ввод!$E$20:$E$27)),1))))</f>
        <v/>
      </c>
      <c r="P24" s="31" t="str">
        <f>IF(D24="","",F24*O24*IF(SUMIF(Ввод!$G$20:$G$27,"COMPLEXITY",Ввод!$E$20:$E$27)=0,1,SUMIF(Ввод!$G$20:$G$27,"COMPLEXITY",Ввод!$E$20:$E$27))*(1+SUMIF(Ввод!$G$20:$G$27,"RISK_PCT",Ввод!$E$20:$E$27)))</f>
        <v/>
      </c>
      <c r="Q24" s="30" t="str">
        <f t="shared" si="1"/>
        <v/>
      </c>
      <c r="R24" s="30" t="str">
        <f t="shared" si="2"/>
        <v/>
      </c>
      <c r="S24" s="32" t="str">
        <f>IF(D24="","",P24/(Ввод!$B$11*IF(SUMIF(Ввод!$G$20:$G$27,"PARALLEL_FTE",Ввод!$E$20:$E$27)=0,1,SUMIF(Ввод!$G$20:$G$27,"PARALLEL_FTE",Ввод!$E$20:$E$27))))</f>
        <v/>
      </c>
      <c r="T24" s="29" t="str">
        <f t="shared" si="3"/>
        <v/>
      </c>
      <c r="U24" s="28"/>
      <c r="V24" s="28"/>
    </row>
    <row r="25" spans="1:22">
      <c r="A25" s="33"/>
      <c r="B25" s="28"/>
      <c r="C25" s="28"/>
      <c r="D25" s="28"/>
      <c r="E25" s="28"/>
      <c r="F25" s="34"/>
      <c r="G25" s="33" t="s">
        <v>82</v>
      </c>
      <c r="H25" s="33"/>
      <c r="I25" s="35"/>
      <c r="J25" s="35"/>
      <c r="K25" s="29" t="str">
        <f t="shared" si="0"/>
        <v/>
      </c>
      <c r="L25" s="30" t="str">
        <f>IF(D25="","",IF(I25&lt;&gt;"",I25,IFERROR(VLOOKUP(K25,'Справочник ролей'!$A$2:$E$20,4,FALSE),0)))</f>
        <v/>
      </c>
      <c r="M25" s="30" t="str">
        <f>IF(D25="","",IF(J25&lt;&gt;"",J25,IFERROR(VLOOKUP(K25,'Справочник ролей'!$A$2:$E$20,5,FALSE),0)))</f>
        <v/>
      </c>
      <c r="N25" s="29" t="str">
        <f>IF(D25="","",IF(G25&lt;&gt;"Авто",G25,IF(Ввод!$B$13&lt;&gt;"Авто",Ввод!$B$13,IFERROR(VLOOKUP(Ввод!$B$5,'Справочник типов'!$A$2:$I$27,9,FALSE),"Всего"))))</f>
        <v/>
      </c>
      <c r="O25" s="31" t="str">
        <f>IF(D25="","",IF(N25="В месяц",MAX(1,SUMIF(Ввод!$G$20:$G$27,"TERM_MONTHS",Ввод!$E$20:$E$27)),IF(N25="На единицу",IF(H25&lt;&gt;"",H25,MAX(1,SUMIF(Ввод!$G$20:$G$27,"QTY",Ввод!$E$20:$E$27))),IF(N25="Ед. × месяц",IF(H25&lt;&gt;"",H25,MAX(1,SUMIF(Ввод!$G$20:$G$27,"QTY",Ввод!$E$20:$E$27)))*MAX(1,SUMIF(Ввод!$G$20:$G$27,"TERM_MONTHS",Ввод!$E$20:$E$27)),1))))</f>
        <v/>
      </c>
      <c r="P25" s="31" t="str">
        <f>IF(D25="","",F25*O25*IF(SUMIF(Ввод!$G$20:$G$27,"COMPLEXITY",Ввод!$E$20:$E$27)=0,1,SUMIF(Ввод!$G$20:$G$27,"COMPLEXITY",Ввод!$E$20:$E$27))*(1+SUMIF(Ввод!$G$20:$G$27,"RISK_PCT",Ввод!$E$20:$E$27)))</f>
        <v/>
      </c>
      <c r="Q25" s="30" t="str">
        <f t="shared" si="1"/>
        <v/>
      </c>
      <c r="R25" s="30" t="str">
        <f t="shared" si="2"/>
        <v/>
      </c>
      <c r="S25" s="32" t="str">
        <f>IF(D25="","",P25/(Ввод!$B$11*IF(SUMIF(Ввод!$G$20:$G$27,"PARALLEL_FTE",Ввод!$E$20:$E$27)=0,1,SUMIF(Ввод!$G$20:$G$27,"PARALLEL_FTE",Ввод!$E$20:$E$27))))</f>
        <v/>
      </c>
      <c r="T25" s="29" t="str">
        <f t="shared" si="3"/>
        <v/>
      </c>
      <c r="U25" s="28"/>
      <c r="V25" s="28"/>
    </row>
    <row r="26" spans="1:22">
      <c r="A26" s="33"/>
      <c r="B26" s="28"/>
      <c r="C26" s="28"/>
      <c r="D26" s="28"/>
      <c r="E26" s="28"/>
      <c r="F26" s="34"/>
      <c r="G26" s="33" t="s">
        <v>82</v>
      </c>
      <c r="H26" s="33"/>
      <c r="I26" s="35"/>
      <c r="J26" s="35"/>
      <c r="K26" s="29" t="str">
        <f t="shared" si="0"/>
        <v/>
      </c>
      <c r="L26" s="30" t="str">
        <f>IF(D26="","",IF(I26&lt;&gt;"",I26,IFERROR(VLOOKUP(K26,'Справочник ролей'!$A$2:$E$20,4,FALSE),0)))</f>
        <v/>
      </c>
      <c r="M26" s="30" t="str">
        <f>IF(D26="","",IF(J26&lt;&gt;"",J26,IFERROR(VLOOKUP(K26,'Справочник ролей'!$A$2:$E$20,5,FALSE),0)))</f>
        <v/>
      </c>
      <c r="N26" s="29" t="str">
        <f>IF(D26="","",IF(G26&lt;&gt;"Авто",G26,IF(Ввод!$B$13&lt;&gt;"Авто",Ввод!$B$13,IFERROR(VLOOKUP(Ввод!$B$5,'Справочник типов'!$A$2:$I$27,9,FALSE),"Всего"))))</f>
        <v/>
      </c>
      <c r="O26" s="31" t="str">
        <f>IF(D26="","",IF(N26="В месяц",MAX(1,SUMIF(Ввод!$G$20:$G$27,"TERM_MONTHS",Ввод!$E$20:$E$27)),IF(N26="На единицу",IF(H26&lt;&gt;"",H26,MAX(1,SUMIF(Ввод!$G$20:$G$27,"QTY",Ввод!$E$20:$E$27))),IF(N26="Ед. × месяц",IF(H26&lt;&gt;"",H26,MAX(1,SUMIF(Ввод!$G$20:$G$27,"QTY",Ввод!$E$20:$E$27)))*MAX(1,SUMIF(Ввод!$G$20:$G$27,"TERM_MONTHS",Ввод!$E$20:$E$27)),1))))</f>
        <v/>
      </c>
      <c r="P26" s="31" t="str">
        <f>IF(D26="","",F26*O26*IF(SUMIF(Ввод!$G$20:$G$27,"COMPLEXITY",Ввод!$E$20:$E$27)=0,1,SUMIF(Ввод!$G$20:$G$27,"COMPLEXITY",Ввод!$E$20:$E$27))*(1+SUMIF(Ввод!$G$20:$G$27,"RISK_PCT",Ввод!$E$20:$E$27)))</f>
        <v/>
      </c>
      <c r="Q26" s="30" t="str">
        <f t="shared" si="1"/>
        <v/>
      </c>
      <c r="R26" s="30" t="str">
        <f t="shared" si="2"/>
        <v/>
      </c>
      <c r="S26" s="32" t="str">
        <f>IF(D26="","",P26/(Ввод!$B$11*IF(SUMIF(Ввод!$G$20:$G$27,"PARALLEL_FTE",Ввод!$E$20:$E$27)=0,1,SUMIF(Ввод!$G$20:$G$27,"PARALLEL_FTE",Ввод!$E$20:$E$27))))</f>
        <v/>
      </c>
      <c r="T26" s="29" t="str">
        <f t="shared" si="3"/>
        <v/>
      </c>
      <c r="U26" s="28"/>
      <c r="V26" s="28"/>
    </row>
    <row r="27" spans="1:22">
      <c r="A27" s="33"/>
      <c r="B27" s="28"/>
      <c r="C27" s="28"/>
      <c r="D27" s="28"/>
      <c r="E27" s="28"/>
      <c r="F27" s="34"/>
      <c r="G27" s="33" t="s">
        <v>82</v>
      </c>
      <c r="H27" s="33"/>
      <c r="I27" s="35"/>
      <c r="J27" s="35"/>
      <c r="K27" s="29" t="str">
        <f t="shared" si="0"/>
        <v/>
      </c>
      <c r="L27" s="30" t="str">
        <f>IF(D27="","",IF(I27&lt;&gt;"",I27,IFERROR(VLOOKUP(K27,'Справочник ролей'!$A$2:$E$20,4,FALSE),0)))</f>
        <v/>
      </c>
      <c r="M27" s="30" t="str">
        <f>IF(D27="","",IF(J27&lt;&gt;"",J27,IFERROR(VLOOKUP(K27,'Справочник ролей'!$A$2:$E$20,5,FALSE),0)))</f>
        <v/>
      </c>
      <c r="N27" s="29" t="str">
        <f>IF(D27="","",IF(G27&lt;&gt;"Авто",G27,IF(Ввод!$B$13&lt;&gt;"Авто",Ввод!$B$13,IFERROR(VLOOKUP(Ввод!$B$5,'Справочник типов'!$A$2:$I$27,9,FALSE),"Всего"))))</f>
        <v/>
      </c>
      <c r="O27" s="31" t="str">
        <f>IF(D27="","",IF(N27="В месяц",MAX(1,SUMIF(Ввод!$G$20:$G$27,"TERM_MONTHS",Ввод!$E$20:$E$27)),IF(N27="На единицу",IF(H27&lt;&gt;"",H27,MAX(1,SUMIF(Ввод!$G$20:$G$27,"QTY",Ввод!$E$20:$E$27))),IF(N27="Ед. × месяц",IF(H27&lt;&gt;"",H27,MAX(1,SUMIF(Ввод!$G$20:$G$27,"QTY",Ввод!$E$20:$E$27)))*MAX(1,SUMIF(Ввод!$G$20:$G$27,"TERM_MONTHS",Ввод!$E$20:$E$27)),1))))</f>
        <v/>
      </c>
      <c r="P27" s="31" t="str">
        <f>IF(D27="","",F27*O27*IF(SUMIF(Ввод!$G$20:$G$27,"COMPLEXITY",Ввод!$E$20:$E$27)=0,1,SUMIF(Ввод!$G$20:$G$27,"COMPLEXITY",Ввод!$E$20:$E$27))*(1+SUMIF(Ввод!$G$20:$G$27,"RISK_PCT",Ввод!$E$20:$E$27)))</f>
        <v/>
      </c>
      <c r="Q27" s="30" t="str">
        <f t="shared" si="1"/>
        <v/>
      </c>
      <c r="R27" s="30" t="str">
        <f t="shared" si="2"/>
        <v/>
      </c>
      <c r="S27" s="32" t="str">
        <f>IF(D27="","",P27/(Ввод!$B$11*IF(SUMIF(Ввод!$G$20:$G$27,"PARALLEL_FTE",Ввод!$E$20:$E$27)=0,1,SUMIF(Ввод!$G$20:$G$27,"PARALLEL_FTE",Ввод!$E$20:$E$27))))</f>
        <v/>
      </c>
      <c r="T27" s="29" t="str">
        <f t="shared" si="3"/>
        <v/>
      </c>
      <c r="U27" s="28"/>
      <c r="V27" s="28"/>
    </row>
    <row r="28" spans="1:22">
      <c r="A28" s="33"/>
      <c r="B28" s="28"/>
      <c r="C28" s="28"/>
      <c r="D28" s="28"/>
      <c r="E28" s="28"/>
      <c r="F28" s="34"/>
      <c r="G28" s="33" t="s">
        <v>82</v>
      </c>
      <c r="H28" s="33"/>
      <c r="I28" s="35"/>
      <c r="J28" s="35"/>
      <c r="K28" s="29" t="str">
        <f t="shared" si="0"/>
        <v/>
      </c>
      <c r="L28" s="30" t="str">
        <f>IF(D28="","",IF(I28&lt;&gt;"",I28,IFERROR(VLOOKUP(K28,'Справочник ролей'!$A$2:$E$20,4,FALSE),0)))</f>
        <v/>
      </c>
      <c r="M28" s="30" t="str">
        <f>IF(D28="","",IF(J28&lt;&gt;"",J28,IFERROR(VLOOKUP(K28,'Справочник ролей'!$A$2:$E$20,5,FALSE),0)))</f>
        <v/>
      </c>
      <c r="N28" s="29" t="str">
        <f>IF(D28="","",IF(G28&lt;&gt;"Авто",G28,IF(Ввод!$B$13&lt;&gt;"Авто",Ввод!$B$13,IFERROR(VLOOKUP(Ввод!$B$5,'Справочник типов'!$A$2:$I$27,9,FALSE),"Всего"))))</f>
        <v/>
      </c>
      <c r="O28" s="31" t="str">
        <f>IF(D28="","",IF(N28="В месяц",MAX(1,SUMIF(Ввод!$G$20:$G$27,"TERM_MONTHS",Ввод!$E$20:$E$27)),IF(N28="На единицу",IF(H28&lt;&gt;"",H28,MAX(1,SUMIF(Ввод!$G$20:$G$27,"QTY",Ввод!$E$20:$E$27))),IF(N28="Ед. × месяц",IF(H28&lt;&gt;"",H28,MAX(1,SUMIF(Ввод!$G$20:$G$27,"QTY",Ввод!$E$20:$E$27)))*MAX(1,SUMIF(Ввод!$G$20:$G$27,"TERM_MONTHS",Ввод!$E$20:$E$27)),1))))</f>
        <v/>
      </c>
      <c r="P28" s="31" t="str">
        <f>IF(D28="","",F28*O28*IF(SUMIF(Ввод!$G$20:$G$27,"COMPLEXITY",Ввод!$E$20:$E$27)=0,1,SUMIF(Ввод!$G$20:$G$27,"COMPLEXITY",Ввод!$E$20:$E$27))*(1+SUMIF(Ввод!$G$20:$G$27,"RISK_PCT",Ввод!$E$20:$E$27)))</f>
        <v/>
      </c>
      <c r="Q28" s="30" t="str">
        <f t="shared" si="1"/>
        <v/>
      </c>
      <c r="R28" s="30" t="str">
        <f t="shared" si="2"/>
        <v/>
      </c>
      <c r="S28" s="32" t="str">
        <f>IF(D28="","",P28/(Ввод!$B$11*IF(SUMIF(Ввод!$G$20:$G$27,"PARALLEL_FTE",Ввод!$E$20:$E$27)=0,1,SUMIF(Ввод!$G$20:$G$27,"PARALLEL_FTE",Ввод!$E$20:$E$27))))</f>
        <v/>
      </c>
      <c r="T28" s="29" t="str">
        <f t="shared" si="3"/>
        <v/>
      </c>
      <c r="U28" s="28"/>
      <c r="V28" s="28"/>
    </row>
    <row r="29" spans="1:22">
      <c r="A29" s="33"/>
      <c r="B29" s="28"/>
      <c r="C29" s="28"/>
      <c r="D29" s="28"/>
      <c r="E29" s="28"/>
      <c r="F29" s="34"/>
      <c r="G29" s="33" t="s">
        <v>82</v>
      </c>
      <c r="H29" s="33"/>
      <c r="I29" s="35"/>
      <c r="J29" s="35"/>
      <c r="K29" s="29" t="str">
        <f t="shared" si="0"/>
        <v/>
      </c>
      <c r="L29" s="30" t="str">
        <f>IF(D29="","",IF(I29&lt;&gt;"",I29,IFERROR(VLOOKUP(K29,'Справочник ролей'!$A$2:$E$20,4,FALSE),0)))</f>
        <v/>
      </c>
      <c r="M29" s="30" t="str">
        <f>IF(D29="","",IF(J29&lt;&gt;"",J29,IFERROR(VLOOKUP(K29,'Справочник ролей'!$A$2:$E$20,5,FALSE),0)))</f>
        <v/>
      </c>
      <c r="N29" s="29" t="str">
        <f>IF(D29="","",IF(G29&lt;&gt;"Авто",G29,IF(Ввод!$B$13&lt;&gt;"Авто",Ввод!$B$13,IFERROR(VLOOKUP(Ввод!$B$5,'Справочник типов'!$A$2:$I$27,9,FALSE),"Всего"))))</f>
        <v/>
      </c>
      <c r="O29" s="31" t="str">
        <f>IF(D29="","",IF(N29="В месяц",MAX(1,SUMIF(Ввод!$G$20:$G$27,"TERM_MONTHS",Ввод!$E$20:$E$27)),IF(N29="На единицу",IF(H29&lt;&gt;"",H29,MAX(1,SUMIF(Ввод!$G$20:$G$27,"QTY",Ввод!$E$20:$E$27))),IF(N29="Ед. × месяц",IF(H29&lt;&gt;"",H29,MAX(1,SUMIF(Ввод!$G$20:$G$27,"QTY",Ввод!$E$20:$E$27)))*MAX(1,SUMIF(Ввод!$G$20:$G$27,"TERM_MONTHS",Ввод!$E$20:$E$27)),1))))</f>
        <v/>
      </c>
      <c r="P29" s="31" t="str">
        <f>IF(D29="","",F29*O29*IF(SUMIF(Ввод!$G$20:$G$27,"COMPLEXITY",Ввод!$E$20:$E$27)=0,1,SUMIF(Ввод!$G$20:$G$27,"COMPLEXITY",Ввод!$E$20:$E$27))*(1+SUMIF(Ввод!$G$20:$G$27,"RISK_PCT",Ввод!$E$20:$E$27)))</f>
        <v/>
      </c>
      <c r="Q29" s="30" t="str">
        <f t="shared" si="1"/>
        <v/>
      </c>
      <c r="R29" s="30" t="str">
        <f t="shared" si="2"/>
        <v/>
      </c>
      <c r="S29" s="32" t="str">
        <f>IF(D29="","",P29/(Ввод!$B$11*IF(SUMIF(Ввод!$G$20:$G$27,"PARALLEL_FTE",Ввод!$E$20:$E$27)=0,1,SUMIF(Ввод!$G$20:$G$27,"PARALLEL_FTE",Ввод!$E$20:$E$27))))</f>
        <v/>
      </c>
      <c r="T29" s="29" t="str">
        <f t="shared" si="3"/>
        <v/>
      </c>
      <c r="U29" s="28"/>
      <c r="V29" s="28"/>
    </row>
    <row r="30" spans="1:22">
      <c r="A30" s="33"/>
      <c r="B30" s="28"/>
      <c r="C30" s="28"/>
      <c r="D30" s="28"/>
      <c r="E30" s="28"/>
      <c r="F30" s="34"/>
      <c r="G30" s="33" t="s">
        <v>82</v>
      </c>
      <c r="H30" s="33"/>
      <c r="I30" s="35"/>
      <c r="J30" s="35"/>
      <c r="K30" s="29" t="str">
        <f t="shared" si="0"/>
        <v/>
      </c>
      <c r="L30" s="30" t="str">
        <f>IF(D30="","",IF(I30&lt;&gt;"",I30,IFERROR(VLOOKUP(K30,'Справочник ролей'!$A$2:$E$20,4,FALSE),0)))</f>
        <v/>
      </c>
      <c r="M30" s="30" t="str">
        <f>IF(D30="","",IF(J30&lt;&gt;"",J30,IFERROR(VLOOKUP(K30,'Справочник ролей'!$A$2:$E$20,5,FALSE),0)))</f>
        <v/>
      </c>
      <c r="N30" s="29" t="str">
        <f>IF(D30="","",IF(G30&lt;&gt;"Авто",G30,IF(Ввод!$B$13&lt;&gt;"Авто",Ввод!$B$13,IFERROR(VLOOKUP(Ввод!$B$5,'Справочник типов'!$A$2:$I$27,9,FALSE),"Всего"))))</f>
        <v/>
      </c>
      <c r="O30" s="31" t="str">
        <f>IF(D30="","",IF(N30="В месяц",MAX(1,SUMIF(Ввод!$G$20:$G$27,"TERM_MONTHS",Ввод!$E$20:$E$27)),IF(N30="На единицу",IF(H30&lt;&gt;"",H30,MAX(1,SUMIF(Ввод!$G$20:$G$27,"QTY",Ввод!$E$20:$E$27))),IF(N30="Ед. × месяц",IF(H30&lt;&gt;"",H30,MAX(1,SUMIF(Ввод!$G$20:$G$27,"QTY",Ввод!$E$20:$E$27)))*MAX(1,SUMIF(Ввод!$G$20:$G$27,"TERM_MONTHS",Ввод!$E$20:$E$27)),1))))</f>
        <v/>
      </c>
      <c r="P30" s="31" t="str">
        <f>IF(D30="","",F30*O30*IF(SUMIF(Ввод!$G$20:$G$27,"COMPLEXITY",Ввод!$E$20:$E$27)=0,1,SUMIF(Ввод!$G$20:$G$27,"COMPLEXITY",Ввод!$E$20:$E$27))*(1+SUMIF(Ввод!$G$20:$G$27,"RISK_PCT",Ввод!$E$20:$E$27)))</f>
        <v/>
      </c>
      <c r="Q30" s="30" t="str">
        <f t="shared" si="1"/>
        <v/>
      </c>
      <c r="R30" s="30" t="str">
        <f t="shared" si="2"/>
        <v/>
      </c>
      <c r="S30" s="32" t="str">
        <f>IF(D30="","",P30/(Ввод!$B$11*IF(SUMIF(Ввод!$G$20:$G$27,"PARALLEL_FTE",Ввод!$E$20:$E$27)=0,1,SUMIF(Ввод!$G$20:$G$27,"PARALLEL_FTE",Ввод!$E$20:$E$27))))</f>
        <v/>
      </c>
      <c r="T30" s="29" t="str">
        <f t="shared" si="3"/>
        <v/>
      </c>
      <c r="U30" s="28"/>
      <c r="V30" s="28"/>
    </row>
    <row r="31" spans="1:22">
      <c r="A31" s="33"/>
      <c r="B31" s="28"/>
      <c r="C31" s="28"/>
      <c r="D31" s="28"/>
      <c r="E31" s="28"/>
      <c r="F31" s="34"/>
      <c r="G31" s="33" t="s">
        <v>82</v>
      </c>
      <c r="H31" s="33"/>
      <c r="I31" s="35"/>
      <c r="J31" s="35"/>
      <c r="K31" s="29" t="str">
        <f t="shared" si="0"/>
        <v/>
      </c>
      <c r="L31" s="30" t="str">
        <f>IF(D31="","",IF(I31&lt;&gt;"",I31,IFERROR(VLOOKUP(K31,'Справочник ролей'!$A$2:$E$20,4,FALSE),0)))</f>
        <v/>
      </c>
      <c r="M31" s="30" t="str">
        <f>IF(D31="","",IF(J31&lt;&gt;"",J31,IFERROR(VLOOKUP(K31,'Справочник ролей'!$A$2:$E$20,5,FALSE),0)))</f>
        <v/>
      </c>
      <c r="N31" s="29" t="str">
        <f>IF(D31="","",IF(G31&lt;&gt;"Авто",G31,IF(Ввод!$B$13&lt;&gt;"Авто",Ввод!$B$13,IFERROR(VLOOKUP(Ввод!$B$5,'Справочник типов'!$A$2:$I$27,9,FALSE),"Всего"))))</f>
        <v/>
      </c>
      <c r="O31" s="31" t="str">
        <f>IF(D31="","",IF(N31="В месяц",MAX(1,SUMIF(Ввод!$G$20:$G$27,"TERM_MONTHS",Ввод!$E$20:$E$27)),IF(N31="На единицу",IF(H31&lt;&gt;"",H31,MAX(1,SUMIF(Ввод!$G$20:$G$27,"QTY",Ввод!$E$20:$E$27))),IF(N31="Ед. × месяц",IF(H31&lt;&gt;"",H31,MAX(1,SUMIF(Ввод!$G$20:$G$27,"QTY",Ввод!$E$20:$E$27)))*MAX(1,SUMIF(Ввод!$G$20:$G$27,"TERM_MONTHS",Ввод!$E$20:$E$27)),1))))</f>
        <v/>
      </c>
      <c r="P31" s="31" t="str">
        <f>IF(D31="","",F31*O31*IF(SUMIF(Ввод!$G$20:$G$27,"COMPLEXITY",Ввод!$E$20:$E$27)=0,1,SUMIF(Ввод!$G$20:$G$27,"COMPLEXITY",Ввод!$E$20:$E$27))*(1+SUMIF(Ввод!$G$20:$G$27,"RISK_PCT",Ввод!$E$20:$E$27)))</f>
        <v/>
      </c>
      <c r="Q31" s="30" t="str">
        <f t="shared" si="1"/>
        <v/>
      </c>
      <c r="R31" s="30" t="str">
        <f t="shared" si="2"/>
        <v/>
      </c>
      <c r="S31" s="32" t="str">
        <f>IF(D31="","",P31/(Ввод!$B$11*IF(SUMIF(Ввод!$G$20:$G$27,"PARALLEL_FTE",Ввод!$E$20:$E$27)=0,1,SUMIF(Ввод!$G$20:$G$27,"PARALLEL_FTE",Ввод!$E$20:$E$27))))</f>
        <v/>
      </c>
      <c r="T31" s="29" t="str">
        <f t="shared" si="3"/>
        <v/>
      </c>
      <c r="U31" s="28"/>
      <c r="V31" s="28"/>
    </row>
    <row r="32" spans="1:22">
      <c r="A32" s="33"/>
      <c r="B32" s="28"/>
      <c r="C32" s="28"/>
      <c r="D32" s="28"/>
      <c r="E32" s="28"/>
      <c r="F32" s="34"/>
      <c r="G32" s="33" t="s">
        <v>82</v>
      </c>
      <c r="H32" s="33"/>
      <c r="I32" s="35"/>
      <c r="J32" s="35"/>
      <c r="K32" s="29" t="str">
        <f t="shared" si="0"/>
        <v/>
      </c>
      <c r="L32" s="30" t="str">
        <f>IF(D32="","",IF(I32&lt;&gt;"",I32,IFERROR(VLOOKUP(K32,'Справочник ролей'!$A$2:$E$20,4,FALSE),0)))</f>
        <v/>
      </c>
      <c r="M32" s="30" t="str">
        <f>IF(D32="","",IF(J32&lt;&gt;"",J32,IFERROR(VLOOKUP(K32,'Справочник ролей'!$A$2:$E$20,5,FALSE),0)))</f>
        <v/>
      </c>
      <c r="N32" s="29" t="str">
        <f>IF(D32="","",IF(G32&lt;&gt;"Авто",G32,IF(Ввод!$B$13&lt;&gt;"Авто",Ввод!$B$13,IFERROR(VLOOKUP(Ввод!$B$5,'Справочник типов'!$A$2:$I$27,9,FALSE),"Всего"))))</f>
        <v/>
      </c>
      <c r="O32" s="31" t="str">
        <f>IF(D32="","",IF(N32="В месяц",MAX(1,SUMIF(Ввод!$G$20:$G$27,"TERM_MONTHS",Ввод!$E$20:$E$27)),IF(N32="На единицу",IF(H32&lt;&gt;"",H32,MAX(1,SUMIF(Ввод!$G$20:$G$27,"QTY",Ввод!$E$20:$E$27))),IF(N32="Ед. × месяц",IF(H32&lt;&gt;"",H32,MAX(1,SUMIF(Ввод!$G$20:$G$27,"QTY",Ввод!$E$20:$E$27)))*MAX(1,SUMIF(Ввод!$G$20:$G$27,"TERM_MONTHS",Ввод!$E$20:$E$27)),1))))</f>
        <v/>
      </c>
      <c r="P32" s="31" t="str">
        <f>IF(D32="","",F32*O32*IF(SUMIF(Ввод!$G$20:$G$27,"COMPLEXITY",Ввод!$E$20:$E$27)=0,1,SUMIF(Ввод!$G$20:$G$27,"COMPLEXITY",Ввод!$E$20:$E$27))*(1+SUMIF(Ввод!$G$20:$G$27,"RISK_PCT",Ввод!$E$20:$E$27)))</f>
        <v/>
      </c>
      <c r="Q32" s="30" t="str">
        <f t="shared" si="1"/>
        <v/>
      </c>
      <c r="R32" s="30" t="str">
        <f t="shared" si="2"/>
        <v/>
      </c>
      <c r="S32" s="32" t="str">
        <f>IF(D32="","",P32/(Ввод!$B$11*IF(SUMIF(Ввод!$G$20:$G$27,"PARALLEL_FTE",Ввод!$E$20:$E$27)=0,1,SUMIF(Ввод!$G$20:$G$27,"PARALLEL_FTE",Ввод!$E$20:$E$27))))</f>
        <v/>
      </c>
      <c r="T32" s="29" t="str">
        <f t="shared" si="3"/>
        <v/>
      </c>
      <c r="U32" s="28"/>
      <c r="V32" s="28"/>
    </row>
    <row r="33" spans="1:22">
      <c r="A33" s="33"/>
      <c r="B33" s="28"/>
      <c r="C33" s="28"/>
      <c r="D33" s="28"/>
      <c r="E33" s="28"/>
      <c r="F33" s="34"/>
      <c r="G33" s="33" t="s">
        <v>82</v>
      </c>
      <c r="H33" s="33"/>
      <c r="I33" s="35"/>
      <c r="J33" s="35"/>
      <c r="K33" s="29" t="str">
        <f t="shared" si="0"/>
        <v/>
      </c>
      <c r="L33" s="30" t="str">
        <f>IF(D33="","",IF(I33&lt;&gt;"",I33,IFERROR(VLOOKUP(K33,'Справочник ролей'!$A$2:$E$20,4,FALSE),0)))</f>
        <v/>
      </c>
      <c r="M33" s="30" t="str">
        <f>IF(D33="","",IF(J33&lt;&gt;"",J33,IFERROR(VLOOKUP(K33,'Справочник ролей'!$A$2:$E$20,5,FALSE),0)))</f>
        <v/>
      </c>
      <c r="N33" s="29" t="str">
        <f>IF(D33="","",IF(G33&lt;&gt;"Авто",G33,IF(Ввод!$B$13&lt;&gt;"Авто",Ввод!$B$13,IFERROR(VLOOKUP(Ввод!$B$5,'Справочник типов'!$A$2:$I$27,9,FALSE),"Всего"))))</f>
        <v/>
      </c>
      <c r="O33" s="31" t="str">
        <f>IF(D33="","",IF(N33="В месяц",MAX(1,SUMIF(Ввод!$G$20:$G$27,"TERM_MONTHS",Ввод!$E$20:$E$27)),IF(N33="На единицу",IF(H33&lt;&gt;"",H33,MAX(1,SUMIF(Ввод!$G$20:$G$27,"QTY",Ввод!$E$20:$E$27))),IF(N33="Ед. × месяц",IF(H33&lt;&gt;"",H33,MAX(1,SUMIF(Ввод!$G$20:$G$27,"QTY",Ввод!$E$20:$E$27)))*MAX(1,SUMIF(Ввод!$G$20:$G$27,"TERM_MONTHS",Ввод!$E$20:$E$27)),1))))</f>
        <v/>
      </c>
      <c r="P33" s="31" t="str">
        <f>IF(D33="","",F33*O33*IF(SUMIF(Ввод!$G$20:$G$27,"COMPLEXITY",Ввод!$E$20:$E$27)=0,1,SUMIF(Ввод!$G$20:$G$27,"COMPLEXITY",Ввод!$E$20:$E$27))*(1+SUMIF(Ввод!$G$20:$G$27,"RISK_PCT",Ввод!$E$20:$E$27)))</f>
        <v/>
      </c>
      <c r="Q33" s="30" t="str">
        <f t="shared" si="1"/>
        <v/>
      </c>
      <c r="R33" s="30" t="str">
        <f t="shared" si="2"/>
        <v/>
      </c>
      <c r="S33" s="32" t="str">
        <f>IF(D33="","",P33/(Ввод!$B$11*IF(SUMIF(Ввод!$G$20:$G$27,"PARALLEL_FTE",Ввод!$E$20:$E$27)=0,1,SUMIF(Ввод!$G$20:$G$27,"PARALLEL_FTE",Ввод!$E$20:$E$27))))</f>
        <v/>
      </c>
      <c r="T33" s="29" t="str">
        <f t="shared" si="3"/>
        <v/>
      </c>
      <c r="U33" s="28"/>
      <c r="V33" s="28"/>
    </row>
    <row r="34" spans="1:22">
      <c r="A34" s="33"/>
      <c r="B34" s="28"/>
      <c r="C34" s="28"/>
      <c r="D34" s="28"/>
      <c r="E34" s="28"/>
      <c r="F34" s="34"/>
      <c r="G34" s="33" t="s">
        <v>82</v>
      </c>
      <c r="H34" s="33"/>
      <c r="I34" s="35"/>
      <c r="J34" s="35"/>
      <c r="K34" s="29" t="str">
        <f t="shared" si="0"/>
        <v/>
      </c>
      <c r="L34" s="30" t="str">
        <f>IF(D34="","",IF(I34&lt;&gt;"",I34,IFERROR(VLOOKUP(K34,'Справочник ролей'!$A$2:$E$20,4,FALSE),0)))</f>
        <v/>
      </c>
      <c r="M34" s="30" t="str">
        <f>IF(D34="","",IF(J34&lt;&gt;"",J34,IFERROR(VLOOKUP(K34,'Справочник ролей'!$A$2:$E$20,5,FALSE),0)))</f>
        <v/>
      </c>
      <c r="N34" s="29" t="str">
        <f>IF(D34="","",IF(G34&lt;&gt;"Авто",G34,IF(Ввод!$B$13&lt;&gt;"Авто",Ввод!$B$13,IFERROR(VLOOKUP(Ввод!$B$5,'Справочник типов'!$A$2:$I$27,9,FALSE),"Всего"))))</f>
        <v/>
      </c>
      <c r="O34" s="31" t="str">
        <f>IF(D34="","",IF(N34="В месяц",MAX(1,SUMIF(Ввод!$G$20:$G$27,"TERM_MONTHS",Ввод!$E$20:$E$27)),IF(N34="На единицу",IF(H34&lt;&gt;"",H34,MAX(1,SUMIF(Ввод!$G$20:$G$27,"QTY",Ввод!$E$20:$E$27))),IF(N34="Ед. × месяц",IF(H34&lt;&gt;"",H34,MAX(1,SUMIF(Ввод!$G$20:$G$27,"QTY",Ввод!$E$20:$E$27)))*MAX(1,SUMIF(Ввод!$G$20:$G$27,"TERM_MONTHS",Ввод!$E$20:$E$27)),1))))</f>
        <v/>
      </c>
      <c r="P34" s="31" t="str">
        <f>IF(D34="","",F34*O34*IF(SUMIF(Ввод!$G$20:$G$27,"COMPLEXITY",Ввод!$E$20:$E$27)=0,1,SUMIF(Ввод!$G$20:$G$27,"COMPLEXITY",Ввод!$E$20:$E$27))*(1+SUMIF(Ввод!$G$20:$G$27,"RISK_PCT",Ввод!$E$20:$E$27)))</f>
        <v/>
      </c>
      <c r="Q34" s="30" t="str">
        <f t="shared" si="1"/>
        <v/>
      </c>
      <c r="R34" s="30" t="str">
        <f t="shared" si="2"/>
        <v/>
      </c>
      <c r="S34" s="32" t="str">
        <f>IF(D34="","",P34/(Ввод!$B$11*IF(SUMIF(Ввод!$G$20:$G$27,"PARALLEL_FTE",Ввод!$E$20:$E$27)=0,1,SUMIF(Ввод!$G$20:$G$27,"PARALLEL_FTE",Ввод!$E$20:$E$27))))</f>
        <v/>
      </c>
      <c r="T34" s="29" t="str">
        <f t="shared" si="3"/>
        <v/>
      </c>
      <c r="U34" s="28"/>
      <c r="V34" s="28"/>
    </row>
    <row r="35" spans="1:22">
      <c r="A35" s="33"/>
      <c r="B35" s="28"/>
      <c r="C35" s="28"/>
      <c r="D35" s="28"/>
      <c r="E35" s="28"/>
      <c r="F35" s="34"/>
      <c r="G35" s="33" t="s">
        <v>82</v>
      </c>
      <c r="H35" s="33"/>
      <c r="I35" s="35"/>
      <c r="J35" s="35"/>
      <c r="K35" s="29" t="str">
        <f t="shared" si="0"/>
        <v/>
      </c>
      <c r="L35" s="30" t="str">
        <f>IF(D35="","",IF(I35&lt;&gt;"",I35,IFERROR(VLOOKUP(K35,'Справочник ролей'!$A$2:$E$20,4,FALSE),0)))</f>
        <v/>
      </c>
      <c r="M35" s="30" t="str">
        <f>IF(D35="","",IF(J35&lt;&gt;"",J35,IFERROR(VLOOKUP(K35,'Справочник ролей'!$A$2:$E$20,5,FALSE),0)))</f>
        <v/>
      </c>
      <c r="N35" s="29" t="str">
        <f>IF(D35="","",IF(G35&lt;&gt;"Авто",G35,IF(Ввод!$B$13&lt;&gt;"Авто",Ввод!$B$13,IFERROR(VLOOKUP(Ввод!$B$5,'Справочник типов'!$A$2:$I$27,9,FALSE),"Всего"))))</f>
        <v/>
      </c>
      <c r="O35" s="31" t="str">
        <f>IF(D35="","",IF(N35="В месяц",MAX(1,SUMIF(Ввод!$G$20:$G$27,"TERM_MONTHS",Ввод!$E$20:$E$27)),IF(N35="На единицу",IF(H35&lt;&gt;"",H35,MAX(1,SUMIF(Ввод!$G$20:$G$27,"QTY",Ввод!$E$20:$E$27))),IF(N35="Ед. × месяц",IF(H35&lt;&gt;"",H35,MAX(1,SUMIF(Ввод!$G$20:$G$27,"QTY",Ввод!$E$20:$E$27)))*MAX(1,SUMIF(Ввод!$G$20:$G$27,"TERM_MONTHS",Ввод!$E$20:$E$27)),1))))</f>
        <v/>
      </c>
      <c r="P35" s="31" t="str">
        <f>IF(D35="","",F35*O35*IF(SUMIF(Ввод!$G$20:$G$27,"COMPLEXITY",Ввод!$E$20:$E$27)=0,1,SUMIF(Ввод!$G$20:$G$27,"COMPLEXITY",Ввод!$E$20:$E$27))*(1+SUMIF(Ввод!$G$20:$G$27,"RISK_PCT",Ввод!$E$20:$E$27)))</f>
        <v/>
      </c>
      <c r="Q35" s="30" t="str">
        <f t="shared" si="1"/>
        <v/>
      </c>
      <c r="R35" s="30" t="str">
        <f t="shared" si="2"/>
        <v/>
      </c>
      <c r="S35" s="32" t="str">
        <f>IF(D35="","",P35/(Ввод!$B$11*IF(SUMIF(Ввод!$G$20:$G$27,"PARALLEL_FTE",Ввод!$E$20:$E$27)=0,1,SUMIF(Ввод!$G$20:$G$27,"PARALLEL_FTE",Ввод!$E$20:$E$27))))</f>
        <v/>
      </c>
      <c r="T35" s="29" t="str">
        <f t="shared" si="3"/>
        <v/>
      </c>
      <c r="U35" s="28"/>
      <c r="V35" s="28"/>
    </row>
    <row r="36" spans="1:22">
      <c r="A36" s="33"/>
      <c r="B36" s="28"/>
      <c r="C36" s="28"/>
      <c r="D36" s="28"/>
      <c r="E36" s="28"/>
      <c r="F36" s="34"/>
      <c r="G36" s="33" t="s">
        <v>82</v>
      </c>
      <c r="H36" s="33"/>
      <c r="I36" s="35"/>
      <c r="J36" s="35"/>
      <c r="K36" s="29" t="str">
        <f t="shared" si="0"/>
        <v/>
      </c>
      <c r="L36" s="30" t="str">
        <f>IF(D36="","",IF(I36&lt;&gt;"",I36,IFERROR(VLOOKUP(K36,'Справочник ролей'!$A$2:$E$20,4,FALSE),0)))</f>
        <v/>
      </c>
      <c r="M36" s="30" t="str">
        <f>IF(D36="","",IF(J36&lt;&gt;"",J36,IFERROR(VLOOKUP(K36,'Справочник ролей'!$A$2:$E$20,5,FALSE),0)))</f>
        <v/>
      </c>
      <c r="N36" s="29" t="str">
        <f>IF(D36="","",IF(G36&lt;&gt;"Авто",G36,IF(Ввод!$B$13&lt;&gt;"Авто",Ввод!$B$13,IFERROR(VLOOKUP(Ввод!$B$5,'Справочник типов'!$A$2:$I$27,9,FALSE),"Всего"))))</f>
        <v/>
      </c>
      <c r="O36" s="31" t="str">
        <f>IF(D36="","",IF(N36="В месяц",MAX(1,SUMIF(Ввод!$G$20:$G$27,"TERM_MONTHS",Ввод!$E$20:$E$27)),IF(N36="На единицу",IF(H36&lt;&gt;"",H36,MAX(1,SUMIF(Ввод!$G$20:$G$27,"QTY",Ввод!$E$20:$E$27))),IF(N36="Ед. × месяц",IF(H36&lt;&gt;"",H36,MAX(1,SUMIF(Ввод!$G$20:$G$27,"QTY",Ввод!$E$20:$E$27)))*MAX(1,SUMIF(Ввод!$G$20:$G$27,"TERM_MONTHS",Ввод!$E$20:$E$27)),1))))</f>
        <v/>
      </c>
      <c r="P36" s="31" t="str">
        <f>IF(D36="","",F36*O36*IF(SUMIF(Ввод!$G$20:$G$27,"COMPLEXITY",Ввод!$E$20:$E$27)=0,1,SUMIF(Ввод!$G$20:$G$27,"COMPLEXITY",Ввод!$E$20:$E$27))*(1+SUMIF(Ввод!$G$20:$G$27,"RISK_PCT",Ввод!$E$20:$E$27)))</f>
        <v/>
      </c>
      <c r="Q36" s="30" t="str">
        <f t="shared" si="1"/>
        <v/>
      </c>
      <c r="R36" s="30" t="str">
        <f t="shared" si="2"/>
        <v/>
      </c>
      <c r="S36" s="32" t="str">
        <f>IF(D36="","",P36/(Ввод!$B$11*IF(SUMIF(Ввод!$G$20:$G$27,"PARALLEL_FTE",Ввод!$E$20:$E$27)=0,1,SUMIF(Ввод!$G$20:$G$27,"PARALLEL_FTE",Ввод!$E$20:$E$27))))</f>
        <v/>
      </c>
      <c r="T36" s="29" t="str">
        <f t="shared" si="3"/>
        <v/>
      </c>
      <c r="U36" s="28"/>
      <c r="V36" s="28"/>
    </row>
    <row r="37" spans="1:22">
      <c r="A37" s="33"/>
      <c r="B37" s="28"/>
      <c r="C37" s="28"/>
      <c r="D37" s="28"/>
      <c r="E37" s="28"/>
      <c r="F37" s="34"/>
      <c r="G37" s="33" t="s">
        <v>82</v>
      </c>
      <c r="H37" s="33"/>
      <c r="I37" s="35"/>
      <c r="J37" s="35"/>
      <c r="K37" s="29" t="str">
        <f t="shared" si="0"/>
        <v/>
      </c>
      <c r="L37" s="30" t="str">
        <f>IF(D37="","",IF(I37&lt;&gt;"",I37,IFERROR(VLOOKUP(K37,'Справочник ролей'!$A$2:$E$20,4,FALSE),0)))</f>
        <v/>
      </c>
      <c r="M37" s="30" t="str">
        <f>IF(D37="","",IF(J37&lt;&gt;"",J37,IFERROR(VLOOKUP(K37,'Справочник ролей'!$A$2:$E$20,5,FALSE),0)))</f>
        <v/>
      </c>
      <c r="N37" s="29" t="str">
        <f>IF(D37="","",IF(G37&lt;&gt;"Авто",G37,IF(Ввод!$B$13&lt;&gt;"Авто",Ввод!$B$13,IFERROR(VLOOKUP(Ввод!$B$5,'Справочник типов'!$A$2:$I$27,9,FALSE),"Всего"))))</f>
        <v/>
      </c>
      <c r="O37" s="31" t="str">
        <f>IF(D37="","",IF(N37="В месяц",MAX(1,SUMIF(Ввод!$G$20:$G$27,"TERM_MONTHS",Ввод!$E$20:$E$27)),IF(N37="На единицу",IF(H37&lt;&gt;"",H37,MAX(1,SUMIF(Ввод!$G$20:$G$27,"QTY",Ввод!$E$20:$E$27))),IF(N37="Ед. × месяц",IF(H37&lt;&gt;"",H37,MAX(1,SUMIF(Ввод!$G$20:$G$27,"QTY",Ввод!$E$20:$E$27)))*MAX(1,SUMIF(Ввод!$G$20:$G$27,"TERM_MONTHS",Ввод!$E$20:$E$27)),1))))</f>
        <v/>
      </c>
      <c r="P37" s="31" t="str">
        <f>IF(D37="","",F37*O37*IF(SUMIF(Ввод!$G$20:$G$27,"COMPLEXITY",Ввод!$E$20:$E$27)=0,1,SUMIF(Ввод!$G$20:$G$27,"COMPLEXITY",Ввод!$E$20:$E$27))*(1+SUMIF(Ввод!$G$20:$G$27,"RISK_PCT",Ввод!$E$20:$E$27)))</f>
        <v/>
      </c>
      <c r="Q37" s="30" t="str">
        <f t="shared" si="1"/>
        <v/>
      </c>
      <c r="R37" s="30" t="str">
        <f t="shared" si="2"/>
        <v/>
      </c>
      <c r="S37" s="32" t="str">
        <f>IF(D37="","",P37/(Ввод!$B$11*IF(SUMIF(Ввод!$G$20:$G$27,"PARALLEL_FTE",Ввод!$E$20:$E$27)=0,1,SUMIF(Ввод!$G$20:$G$27,"PARALLEL_FTE",Ввод!$E$20:$E$27))))</f>
        <v/>
      </c>
      <c r="T37" s="29" t="str">
        <f t="shared" si="3"/>
        <v/>
      </c>
      <c r="U37" s="28"/>
      <c r="V37" s="28"/>
    </row>
    <row r="38" spans="1:22">
      <c r="A38" s="33"/>
      <c r="B38" s="28"/>
      <c r="C38" s="28"/>
      <c r="D38" s="28"/>
      <c r="E38" s="28"/>
      <c r="F38" s="34"/>
      <c r="G38" s="33" t="s">
        <v>82</v>
      </c>
      <c r="H38" s="33"/>
      <c r="I38" s="35"/>
      <c r="J38" s="35"/>
      <c r="K38" s="29" t="str">
        <f t="shared" ref="K38:K69" si="4">IFERROR(MID(E38,FIND("#",E38)+1,20),"")</f>
        <v/>
      </c>
      <c r="L38" s="30" t="str">
        <f>IF(D38="","",IF(I38&lt;&gt;"",I38,IFERROR(VLOOKUP(K38,'Справочник ролей'!$A$2:$E$20,4,FALSE),0)))</f>
        <v/>
      </c>
      <c r="M38" s="30" t="str">
        <f>IF(D38="","",IF(J38&lt;&gt;"",J38,IFERROR(VLOOKUP(K38,'Справочник ролей'!$A$2:$E$20,5,FALSE),0)))</f>
        <v/>
      </c>
      <c r="N38" s="29" t="str">
        <f>IF(D38="","",IF(G38&lt;&gt;"Авто",G38,IF(Ввод!$B$13&lt;&gt;"Авто",Ввод!$B$13,IFERROR(VLOOKUP(Ввод!$B$5,'Справочник типов'!$A$2:$I$27,9,FALSE),"Всего"))))</f>
        <v/>
      </c>
      <c r="O38" s="31" t="str">
        <f>IF(D38="","",IF(N38="В месяц",MAX(1,SUMIF(Ввод!$G$20:$G$27,"TERM_MONTHS",Ввод!$E$20:$E$27)),IF(N38="На единицу",IF(H38&lt;&gt;"",H38,MAX(1,SUMIF(Ввод!$G$20:$G$27,"QTY",Ввод!$E$20:$E$27))),IF(N38="Ед. × месяц",IF(H38&lt;&gt;"",H38,MAX(1,SUMIF(Ввод!$G$20:$G$27,"QTY",Ввод!$E$20:$E$27)))*MAX(1,SUMIF(Ввод!$G$20:$G$27,"TERM_MONTHS",Ввод!$E$20:$E$27)),1))))</f>
        <v/>
      </c>
      <c r="P38" s="31" t="str">
        <f>IF(D38="","",F38*O38*IF(SUMIF(Ввод!$G$20:$G$27,"COMPLEXITY",Ввод!$E$20:$E$27)=0,1,SUMIF(Ввод!$G$20:$G$27,"COMPLEXITY",Ввод!$E$20:$E$27))*(1+SUMIF(Ввод!$G$20:$G$27,"RISK_PCT",Ввод!$E$20:$E$27)))</f>
        <v/>
      </c>
      <c r="Q38" s="30" t="str">
        <f t="shared" ref="Q38:Q69" si="5">IF(D38="","",P38*L38)</f>
        <v/>
      </c>
      <c r="R38" s="30" t="str">
        <f t="shared" ref="R38:R69" si="6">IF(D38="","",P38*M38)</f>
        <v/>
      </c>
      <c r="S38" s="32" t="str">
        <f>IF(D38="","",P38/(Ввод!$B$11*IF(SUMIF(Ввод!$G$20:$G$27,"PARALLEL_FTE",Ввод!$E$20:$E$27)=0,1,SUMIF(Ввод!$G$20:$G$27,"PARALLEL_FTE",Ввод!$E$20:$E$27))))</f>
        <v/>
      </c>
      <c r="T38" s="29" t="str">
        <f t="shared" ref="T38:T69" si="7">IF(D38="","",IF(F38&lt;=0,"ПРОВЕРИТЬ ЧАСЫ",IF(AND(L38=0,M38=0),"ПРОВЕРИТЬ СТАВКУ","OK")))</f>
        <v/>
      </c>
      <c r="U38" s="28"/>
      <c r="V38" s="28"/>
    </row>
    <row r="39" spans="1:22">
      <c r="A39" s="33"/>
      <c r="B39" s="28"/>
      <c r="C39" s="28"/>
      <c r="D39" s="28"/>
      <c r="E39" s="28"/>
      <c r="F39" s="34"/>
      <c r="G39" s="33" t="s">
        <v>82</v>
      </c>
      <c r="H39" s="33"/>
      <c r="I39" s="35"/>
      <c r="J39" s="35"/>
      <c r="K39" s="29" t="str">
        <f t="shared" si="4"/>
        <v/>
      </c>
      <c r="L39" s="30" t="str">
        <f>IF(D39="","",IF(I39&lt;&gt;"",I39,IFERROR(VLOOKUP(K39,'Справочник ролей'!$A$2:$E$20,4,FALSE),0)))</f>
        <v/>
      </c>
      <c r="M39" s="30" t="str">
        <f>IF(D39="","",IF(J39&lt;&gt;"",J39,IFERROR(VLOOKUP(K39,'Справочник ролей'!$A$2:$E$20,5,FALSE),0)))</f>
        <v/>
      </c>
      <c r="N39" s="29" t="str">
        <f>IF(D39="","",IF(G39&lt;&gt;"Авто",G39,IF(Ввод!$B$13&lt;&gt;"Авто",Ввод!$B$13,IFERROR(VLOOKUP(Ввод!$B$5,'Справочник типов'!$A$2:$I$27,9,FALSE),"Всего"))))</f>
        <v/>
      </c>
      <c r="O39" s="31" t="str">
        <f>IF(D39="","",IF(N39="В месяц",MAX(1,SUMIF(Ввод!$G$20:$G$27,"TERM_MONTHS",Ввод!$E$20:$E$27)),IF(N39="На единицу",IF(H39&lt;&gt;"",H39,MAX(1,SUMIF(Ввод!$G$20:$G$27,"QTY",Ввод!$E$20:$E$27))),IF(N39="Ед. × месяц",IF(H39&lt;&gt;"",H39,MAX(1,SUMIF(Ввод!$G$20:$G$27,"QTY",Ввод!$E$20:$E$27)))*MAX(1,SUMIF(Ввод!$G$20:$G$27,"TERM_MONTHS",Ввод!$E$20:$E$27)),1))))</f>
        <v/>
      </c>
      <c r="P39" s="31" t="str">
        <f>IF(D39="","",F39*O39*IF(SUMIF(Ввод!$G$20:$G$27,"COMPLEXITY",Ввод!$E$20:$E$27)=0,1,SUMIF(Ввод!$G$20:$G$27,"COMPLEXITY",Ввод!$E$20:$E$27))*(1+SUMIF(Ввод!$G$20:$G$27,"RISK_PCT",Ввод!$E$20:$E$27)))</f>
        <v/>
      </c>
      <c r="Q39" s="30" t="str">
        <f t="shared" si="5"/>
        <v/>
      </c>
      <c r="R39" s="30" t="str">
        <f t="shared" si="6"/>
        <v/>
      </c>
      <c r="S39" s="32" t="str">
        <f>IF(D39="","",P39/(Ввод!$B$11*IF(SUMIF(Ввод!$G$20:$G$27,"PARALLEL_FTE",Ввод!$E$20:$E$27)=0,1,SUMIF(Ввод!$G$20:$G$27,"PARALLEL_FTE",Ввод!$E$20:$E$27))))</f>
        <v/>
      </c>
      <c r="T39" s="29" t="str">
        <f t="shared" si="7"/>
        <v/>
      </c>
      <c r="U39" s="28"/>
      <c r="V39" s="28"/>
    </row>
    <row r="40" spans="1:22">
      <c r="A40" s="33"/>
      <c r="B40" s="28"/>
      <c r="C40" s="28"/>
      <c r="D40" s="28"/>
      <c r="E40" s="28"/>
      <c r="F40" s="34"/>
      <c r="G40" s="33" t="s">
        <v>82</v>
      </c>
      <c r="H40" s="33"/>
      <c r="I40" s="35"/>
      <c r="J40" s="35"/>
      <c r="K40" s="29" t="str">
        <f t="shared" si="4"/>
        <v/>
      </c>
      <c r="L40" s="30" t="str">
        <f>IF(D40="","",IF(I40&lt;&gt;"",I40,IFERROR(VLOOKUP(K40,'Справочник ролей'!$A$2:$E$20,4,FALSE),0)))</f>
        <v/>
      </c>
      <c r="M40" s="30" t="str">
        <f>IF(D40="","",IF(J40&lt;&gt;"",J40,IFERROR(VLOOKUP(K40,'Справочник ролей'!$A$2:$E$20,5,FALSE),0)))</f>
        <v/>
      </c>
      <c r="N40" s="29" t="str">
        <f>IF(D40="","",IF(G40&lt;&gt;"Авто",G40,IF(Ввод!$B$13&lt;&gt;"Авто",Ввод!$B$13,IFERROR(VLOOKUP(Ввод!$B$5,'Справочник типов'!$A$2:$I$27,9,FALSE),"Всего"))))</f>
        <v/>
      </c>
      <c r="O40" s="31" t="str">
        <f>IF(D40="","",IF(N40="В месяц",MAX(1,SUMIF(Ввод!$G$20:$G$27,"TERM_MONTHS",Ввод!$E$20:$E$27)),IF(N40="На единицу",IF(H40&lt;&gt;"",H40,MAX(1,SUMIF(Ввод!$G$20:$G$27,"QTY",Ввод!$E$20:$E$27))),IF(N40="Ед. × месяц",IF(H40&lt;&gt;"",H40,MAX(1,SUMIF(Ввод!$G$20:$G$27,"QTY",Ввод!$E$20:$E$27)))*MAX(1,SUMIF(Ввод!$G$20:$G$27,"TERM_MONTHS",Ввод!$E$20:$E$27)),1))))</f>
        <v/>
      </c>
      <c r="P40" s="31" t="str">
        <f>IF(D40="","",F40*O40*IF(SUMIF(Ввод!$G$20:$G$27,"COMPLEXITY",Ввод!$E$20:$E$27)=0,1,SUMIF(Ввод!$G$20:$G$27,"COMPLEXITY",Ввод!$E$20:$E$27))*(1+SUMIF(Ввод!$G$20:$G$27,"RISK_PCT",Ввод!$E$20:$E$27)))</f>
        <v/>
      </c>
      <c r="Q40" s="30" t="str">
        <f t="shared" si="5"/>
        <v/>
      </c>
      <c r="R40" s="30" t="str">
        <f t="shared" si="6"/>
        <v/>
      </c>
      <c r="S40" s="32" t="str">
        <f>IF(D40="","",P40/(Ввод!$B$11*IF(SUMIF(Ввод!$G$20:$G$27,"PARALLEL_FTE",Ввод!$E$20:$E$27)=0,1,SUMIF(Ввод!$G$20:$G$27,"PARALLEL_FTE",Ввод!$E$20:$E$27))))</f>
        <v/>
      </c>
      <c r="T40" s="29" t="str">
        <f t="shared" si="7"/>
        <v/>
      </c>
      <c r="U40" s="28"/>
      <c r="V40" s="28"/>
    </row>
    <row r="41" spans="1:22">
      <c r="A41" s="33"/>
      <c r="B41" s="28"/>
      <c r="C41" s="28"/>
      <c r="D41" s="28"/>
      <c r="E41" s="28"/>
      <c r="F41" s="34"/>
      <c r="G41" s="33" t="s">
        <v>82</v>
      </c>
      <c r="H41" s="33"/>
      <c r="I41" s="35"/>
      <c r="J41" s="35"/>
      <c r="K41" s="29" t="str">
        <f t="shared" si="4"/>
        <v/>
      </c>
      <c r="L41" s="30" t="str">
        <f>IF(D41="","",IF(I41&lt;&gt;"",I41,IFERROR(VLOOKUP(K41,'Справочник ролей'!$A$2:$E$20,4,FALSE),0)))</f>
        <v/>
      </c>
      <c r="M41" s="30" t="str">
        <f>IF(D41="","",IF(J41&lt;&gt;"",J41,IFERROR(VLOOKUP(K41,'Справочник ролей'!$A$2:$E$20,5,FALSE),0)))</f>
        <v/>
      </c>
      <c r="N41" s="29" t="str">
        <f>IF(D41="","",IF(G41&lt;&gt;"Авто",G41,IF(Ввод!$B$13&lt;&gt;"Авто",Ввод!$B$13,IFERROR(VLOOKUP(Ввод!$B$5,'Справочник типов'!$A$2:$I$27,9,FALSE),"Всего"))))</f>
        <v/>
      </c>
      <c r="O41" s="31" t="str">
        <f>IF(D41="","",IF(N41="В месяц",MAX(1,SUMIF(Ввод!$G$20:$G$27,"TERM_MONTHS",Ввод!$E$20:$E$27)),IF(N41="На единицу",IF(H41&lt;&gt;"",H41,MAX(1,SUMIF(Ввод!$G$20:$G$27,"QTY",Ввод!$E$20:$E$27))),IF(N41="Ед. × месяц",IF(H41&lt;&gt;"",H41,MAX(1,SUMIF(Ввод!$G$20:$G$27,"QTY",Ввод!$E$20:$E$27)))*MAX(1,SUMIF(Ввод!$G$20:$G$27,"TERM_MONTHS",Ввод!$E$20:$E$27)),1))))</f>
        <v/>
      </c>
      <c r="P41" s="31" t="str">
        <f>IF(D41="","",F41*O41*IF(SUMIF(Ввод!$G$20:$G$27,"COMPLEXITY",Ввод!$E$20:$E$27)=0,1,SUMIF(Ввод!$G$20:$G$27,"COMPLEXITY",Ввод!$E$20:$E$27))*(1+SUMIF(Ввод!$G$20:$G$27,"RISK_PCT",Ввод!$E$20:$E$27)))</f>
        <v/>
      </c>
      <c r="Q41" s="30" t="str">
        <f t="shared" si="5"/>
        <v/>
      </c>
      <c r="R41" s="30" t="str">
        <f t="shared" si="6"/>
        <v/>
      </c>
      <c r="S41" s="32" t="str">
        <f>IF(D41="","",P41/(Ввод!$B$11*IF(SUMIF(Ввод!$G$20:$G$27,"PARALLEL_FTE",Ввод!$E$20:$E$27)=0,1,SUMIF(Ввод!$G$20:$G$27,"PARALLEL_FTE",Ввод!$E$20:$E$27))))</f>
        <v/>
      </c>
      <c r="T41" s="29" t="str">
        <f t="shared" si="7"/>
        <v/>
      </c>
      <c r="U41" s="28"/>
      <c r="V41" s="28"/>
    </row>
    <row r="42" spans="1:22">
      <c r="A42" s="33"/>
      <c r="B42" s="28"/>
      <c r="C42" s="28"/>
      <c r="D42" s="28"/>
      <c r="E42" s="28"/>
      <c r="F42" s="34"/>
      <c r="G42" s="33" t="s">
        <v>82</v>
      </c>
      <c r="H42" s="33"/>
      <c r="I42" s="35"/>
      <c r="J42" s="35"/>
      <c r="K42" s="29" t="str">
        <f t="shared" si="4"/>
        <v/>
      </c>
      <c r="L42" s="30" t="str">
        <f>IF(D42="","",IF(I42&lt;&gt;"",I42,IFERROR(VLOOKUP(K42,'Справочник ролей'!$A$2:$E$20,4,FALSE),0)))</f>
        <v/>
      </c>
      <c r="M42" s="30" t="str">
        <f>IF(D42="","",IF(J42&lt;&gt;"",J42,IFERROR(VLOOKUP(K42,'Справочник ролей'!$A$2:$E$20,5,FALSE),0)))</f>
        <v/>
      </c>
      <c r="N42" s="29" t="str">
        <f>IF(D42="","",IF(G42&lt;&gt;"Авто",G42,IF(Ввод!$B$13&lt;&gt;"Авто",Ввод!$B$13,IFERROR(VLOOKUP(Ввод!$B$5,'Справочник типов'!$A$2:$I$27,9,FALSE),"Всего"))))</f>
        <v/>
      </c>
      <c r="O42" s="31" t="str">
        <f>IF(D42="","",IF(N42="В месяц",MAX(1,SUMIF(Ввод!$G$20:$G$27,"TERM_MONTHS",Ввод!$E$20:$E$27)),IF(N42="На единицу",IF(H42&lt;&gt;"",H42,MAX(1,SUMIF(Ввод!$G$20:$G$27,"QTY",Ввод!$E$20:$E$27))),IF(N42="Ед. × месяц",IF(H42&lt;&gt;"",H42,MAX(1,SUMIF(Ввод!$G$20:$G$27,"QTY",Ввод!$E$20:$E$27)))*MAX(1,SUMIF(Ввод!$G$20:$G$27,"TERM_MONTHS",Ввод!$E$20:$E$27)),1))))</f>
        <v/>
      </c>
      <c r="P42" s="31" t="str">
        <f>IF(D42="","",F42*O42*IF(SUMIF(Ввод!$G$20:$G$27,"COMPLEXITY",Ввод!$E$20:$E$27)=0,1,SUMIF(Ввод!$G$20:$G$27,"COMPLEXITY",Ввод!$E$20:$E$27))*(1+SUMIF(Ввод!$G$20:$G$27,"RISK_PCT",Ввод!$E$20:$E$27)))</f>
        <v/>
      </c>
      <c r="Q42" s="30" t="str">
        <f t="shared" si="5"/>
        <v/>
      </c>
      <c r="R42" s="30" t="str">
        <f t="shared" si="6"/>
        <v/>
      </c>
      <c r="S42" s="32" t="str">
        <f>IF(D42="","",P42/(Ввод!$B$11*IF(SUMIF(Ввод!$G$20:$G$27,"PARALLEL_FTE",Ввод!$E$20:$E$27)=0,1,SUMIF(Ввод!$G$20:$G$27,"PARALLEL_FTE",Ввод!$E$20:$E$27))))</f>
        <v/>
      </c>
      <c r="T42" s="29" t="str">
        <f t="shared" si="7"/>
        <v/>
      </c>
      <c r="U42" s="28"/>
      <c r="V42" s="28"/>
    </row>
    <row r="43" spans="1:22">
      <c r="A43" s="33"/>
      <c r="B43" s="28"/>
      <c r="C43" s="28"/>
      <c r="D43" s="28"/>
      <c r="E43" s="28"/>
      <c r="F43" s="34"/>
      <c r="G43" s="33" t="s">
        <v>82</v>
      </c>
      <c r="H43" s="33"/>
      <c r="I43" s="35"/>
      <c r="J43" s="35"/>
      <c r="K43" s="29" t="str">
        <f t="shared" si="4"/>
        <v/>
      </c>
      <c r="L43" s="30" t="str">
        <f>IF(D43="","",IF(I43&lt;&gt;"",I43,IFERROR(VLOOKUP(K43,'Справочник ролей'!$A$2:$E$20,4,FALSE),0)))</f>
        <v/>
      </c>
      <c r="M43" s="30" t="str">
        <f>IF(D43="","",IF(J43&lt;&gt;"",J43,IFERROR(VLOOKUP(K43,'Справочник ролей'!$A$2:$E$20,5,FALSE),0)))</f>
        <v/>
      </c>
      <c r="N43" s="29" t="str">
        <f>IF(D43="","",IF(G43&lt;&gt;"Авто",G43,IF(Ввод!$B$13&lt;&gt;"Авто",Ввод!$B$13,IFERROR(VLOOKUP(Ввод!$B$5,'Справочник типов'!$A$2:$I$27,9,FALSE),"Всего"))))</f>
        <v/>
      </c>
      <c r="O43" s="31" t="str">
        <f>IF(D43="","",IF(N43="В месяц",MAX(1,SUMIF(Ввод!$G$20:$G$27,"TERM_MONTHS",Ввод!$E$20:$E$27)),IF(N43="На единицу",IF(H43&lt;&gt;"",H43,MAX(1,SUMIF(Ввод!$G$20:$G$27,"QTY",Ввод!$E$20:$E$27))),IF(N43="Ед. × месяц",IF(H43&lt;&gt;"",H43,MAX(1,SUMIF(Ввод!$G$20:$G$27,"QTY",Ввод!$E$20:$E$27)))*MAX(1,SUMIF(Ввод!$G$20:$G$27,"TERM_MONTHS",Ввод!$E$20:$E$27)),1))))</f>
        <v/>
      </c>
      <c r="P43" s="31" t="str">
        <f>IF(D43="","",F43*O43*IF(SUMIF(Ввод!$G$20:$G$27,"COMPLEXITY",Ввод!$E$20:$E$27)=0,1,SUMIF(Ввод!$G$20:$G$27,"COMPLEXITY",Ввод!$E$20:$E$27))*(1+SUMIF(Ввод!$G$20:$G$27,"RISK_PCT",Ввод!$E$20:$E$27)))</f>
        <v/>
      </c>
      <c r="Q43" s="30" t="str">
        <f t="shared" si="5"/>
        <v/>
      </c>
      <c r="R43" s="30" t="str">
        <f t="shared" si="6"/>
        <v/>
      </c>
      <c r="S43" s="32" t="str">
        <f>IF(D43="","",P43/(Ввод!$B$11*IF(SUMIF(Ввод!$G$20:$G$27,"PARALLEL_FTE",Ввод!$E$20:$E$27)=0,1,SUMIF(Ввод!$G$20:$G$27,"PARALLEL_FTE",Ввод!$E$20:$E$27))))</f>
        <v/>
      </c>
      <c r="T43" s="29" t="str">
        <f t="shared" si="7"/>
        <v/>
      </c>
      <c r="U43" s="28"/>
      <c r="V43" s="28"/>
    </row>
    <row r="44" spans="1:22">
      <c r="A44" s="33"/>
      <c r="B44" s="28"/>
      <c r="C44" s="28"/>
      <c r="D44" s="28"/>
      <c r="E44" s="28"/>
      <c r="F44" s="34"/>
      <c r="G44" s="33" t="s">
        <v>82</v>
      </c>
      <c r="H44" s="33"/>
      <c r="I44" s="35"/>
      <c r="J44" s="35"/>
      <c r="K44" s="29" t="str">
        <f t="shared" si="4"/>
        <v/>
      </c>
      <c r="L44" s="30" t="str">
        <f>IF(D44="","",IF(I44&lt;&gt;"",I44,IFERROR(VLOOKUP(K44,'Справочник ролей'!$A$2:$E$20,4,FALSE),0)))</f>
        <v/>
      </c>
      <c r="M44" s="30" t="str">
        <f>IF(D44="","",IF(J44&lt;&gt;"",J44,IFERROR(VLOOKUP(K44,'Справочник ролей'!$A$2:$E$20,5,FALSE),0)))</f>
        <v/>
      </c>
      <c r="N44" s="29" t="str">
        <f>IF(D44="","",IF(G44&lt;&gt;"Авто",G44,IF(Ввод!$B$13&lt;&gt;"Авто",Ввод!$B$13,IFERROR(VLOOKUP(Ввод!$B$5,'Справочник типов'!$A$2:$I$27,9,FALSE),"Всего"))))</f>
        <v/>
      </c>
      <c r="O44" s="31" t="str">
        <f>IF(D44="","",IF(N44="В месяц",MAX(1,SUMIF(Ввод!$G$20:$G$27,"TERM_MONTHS",Ввод!$E$20:$E$27)),IF(N44="На единицу",IF(H44&lt;&gt;"",H44,MAX(1,SUMIF(Ввод!$G$20:$G$27,"QTY",Ввод!$E$20:$E$27))),IF(N44="Ед. × месяц",IF(H44&lt;&gt;"",H44,MAX(1,SUMIF(Ввод!$G$20:$G$27,"QTY",Ввод!$E$20:$E$27)))*MAX(1,SUMIF(Ввод!$G$20:$G$27,"TERM_MONTHS",Ввод!$E$20:$E$27)),1))))</f>
        <v/>
      </c>
      <c r="P44" s="31" t="str">
        <f>IF(D44="","",F44*O44*IF(SUMIF(Ввод!$G$20:$G$27,"COMPLEXITY",Ввод!$E$20:$E$27)=0,1,SUMIF(Ввод!$G$20:$G$27,"COMPLEXITY",Ввод!$E$20:$E$27))*(1+SUMIF(Ввод!$G$20:$G$27,"RISK_PCT",Ввод!$E$20:$E$27)))</f>
        <v/>
      </c>
      <c r="Q44" s="30" t="str">
        <f t="shared" si="5"/>
        <v/>
      </c>
      <c r="R44" s="30" t="str">
        <f t="shared" si="6"/>
        <v/>
      </c>
      <c r="S44" s="32" t="str">
        <f>IF(D44="","",P44/(Ввод!$B$11*IF(SUMIF(Ввод!$G$20:$G$27,"PARALLEL_FTE",Ввод!$E$20:$E$27)=0,1,SUMIF(Ввод!$G$20:$G$27,"PARALLEL_FTE",Ввод!$E$20:$E$27))))</f>
        <v/>
      </c>
      <c r="T44" s="29" t="str">
        <f t="shared" si="7"/>
        <v/>
      </c>
      <c r="U44" s="28"/>
      <c r="V44" s="28"/>
    </row>
    <row r="45" spans="1:22">
      <c r="A45" s="33"/>
      <c r="B45" s="28"/>
      <c r="C45" s="28"/>
      <c r="D45" s="28"/>
      <c r="E45" s="28"/>
      <c r="F45" s="34"/>
      <c r="G45" s="33" t="s">
        <v>82</v>
      </c>
      <c r="H45" s="33"/>
      <c r="I45" s="35"/>
      <c r="J45" s="35"/>
      <c r="K45" s="29" t="str">
        <f t="shared" si="4"/>
        <v/>
      </c>
      <c r="L45" s="30" t="str">
        <f>IF(D45="","",IF(I45&lt;&gt;"",I45,IFERROR(VLOOKUP(K45,'Справочник ролей'!$A$2:$E$20,4,FALSE),0)))</f>
        <v/>
      </c>
      <c r="M45" s="30" t="str">
        <f>IF(D45="","",IF(J45&lt;&gt;"",J45,IFERROR(VLOOKUP(K45,'Справочник ролей'!$A$2:$E$20,5,FALSE),0)))</f>
        <v/>
      </c>
      <c r="N45" s="29" t="str">
        <f>IF(D45="","",IF(G45&lt;&gt;"Авто",G45,IF(Ввод!$B$13&lt;&gt;"Авто",Ввод!$B$13,IFERROR(VLOOKUP(Ввод!$B$5,'Справочник типов'!$A$2:$I$27,9,FALSE),"Всего"))))</f>
        <v/>
      </c>
      <c r="O45" s="31" t="str">
        <f>IF(D45="","",IF(N45="В месяц",MAX(1,SUMIF(Ввод!$G$20:$G$27,"TERM_MONTHS",Ввод!$E$20:$E$27)),IF(N45="На единицу",IF(H45&lt;&gt;"",H45,MAX(1,SUMIF(Ввод!$G$20:$G$27,"QTY",Ввод!$E$20:$E$27))),IF(N45="Ед. × месяц",IF(H45&lt;&gt;"",H45,MAX(1,SUMIF(Ввод!$G$20:$G$27,"QTY",Ввод!$E$20:$E$27)))*MAX(1,SUMIF(Ввод!$G$20:$G$27,"TERM_MONTHS",Ввод!$E$20:$E$27)),1))))</f>
        <v/>
      </c>
      <c r="P45" s="31" t="str">
        <f>IF(D45="","",F45*O45*IF(SUMIF(Ввод!$G$20:$G$27,"COMPLEXITY",Ввод!$E$20:$E$27)=0,1,SUMIF(Ввод!$G$20:$G$27,"COMPLEXITY",Ввод!$E$20:$E$27))*(1+SUMIF(Ввод!$G$20:$G$27,"RISK_PCT",Ввод!$E$20:$E$27)))</f>
        <v/>
      </c>
      <c r="Q45" s="30" t="str">
        <f t="shared" si="5"/>
        <v/>
      </c>
      <c r="R45" s="30" t="str">
        <f t="shared" si="6"/>
        <v/>
      </c>
      <c r="S45" s="32" t="str">
        <f>IF(D45="","",P45/(Ввод!$B$11*IF(SUMIF(Ввод!$G$20:$G$27,"PARALLEL_FTE",Ввод!$E$20:$E$27)=0,1,SUMIF(Ввод!$G$20:$G$27,"PARALLEL_FTE",Ввод!$E$20:$E$27))))</f>
        <v/>
      </c>
      <c r="T45" s="29" t="str">
        <f t="shared" si="7"/>
        <v/>
      </c>
      <c r="U45" s="28"/>
      <c r="V45" s="28"/>
    </row>
    <row r="46" spans="1:22">
      <c r="A46" s="33"/>
      <c r="B46" s="28"/>
      <c r="C46" s="28"/>
      <c r="D46" s="28"/>
      <c r="E46" s="28"/>
      <c r="F46" s="34"/>
      <c r="G46" s="33" t="s">
        <v>82</v>
      </c>
      <c r="H46" s="33"/>
      <c r="I46" s="35"/>
      <c r="J46" s="35"/>
      <c r="K46" s="29" t="str">
        <f t="shared" si="4"/>
        <v/>
      </c>
      <c r="L46" s="30" t="str">
        <f>IF(D46="","",IF(I46&lt;&gt;"",I46,IFERROR(VLOOKUP(K46,'Справочник ролей'!$A$2:$E$20,4,FALSE),0)))</f>
        <v/>
      </c>
      <c r="M46" s="30" t="str">
        <f>IF(D46="","",IF(J46&lt;&gt;"",J46,IFERROR(VLOOKUP(K46,'Справочник ролей'!$A$2:$E$20,5,FALSE),0)))</f>
        <v/>
      </c>
      <c r="N46" s="29" t="str">
        <f>IF(D46="","",IF(G46&lt;&gt;"Авто",G46,IF(Ввод!$B$13&lt;&gt;"Авто",Ввод!$B$13,IFERROR(VLOOKUP(Ввод!$B$5,'Справочник типов'!$A$2:$I$27,9,FALSE),"Всего"))))</f>
        <v/>
      </c>
      <c r="O46" s="31" t="str">
        <f>IF(D46="","",IF(N46="В месяц",MAX(1,SUMIF(Ввод!$G$20:$G$27,"TERM_MONTHS",Ввод!$E$20:$E$27)),IF(N46="На единицу",IF(H46&lt;&gt;"",H46,MAX(1,SUMIF(Ввод!$G$20:$G$27,"QTY",Ввод!$E$20:$E$27))),IF(N46="Ед. × месяц",IF(H46&lt;&gt;"",H46,MAX(1,SUMIF(Ввод!$G$20:$G$27,"QTY",Ввод!$E$20:$E$27)))*MAX(1,SUMIF(Ввод!$G$20:$G$27,"TERM_MONTHS",Ввод!$E$20:$E$27)),1))))</f>
        <v/>
      </c>
      <c r="P46" s="31" t="str">
        <f>IF(D46="","",F46*O46*IF(SUMIF(Ввод!$G$20:$G$27,"COMPLEXITY",Ввод!$E$20:$E$27)=0,1,SUMIF(Ввод!$G$20:$G$27,"COMPLEXITY",Ввод!$E$20:$E$27))*(1+SUMIF(Ввод!$G$20:$G$27,"RISK_PCT",Ввод!$E$20:$E$27)))</f>
        <v/>
      </c>
      <c r="Q46" s="30" t="str">
        <f t="shared" si="5"/>
        <v/>
      </c>
      <c r="R46" s="30" t="str">
        <f t="shared" si="6"/>
        <v/>
      </c>
      <c r="S46" s="32" t="str">
        <f>IF(D46="","",P46/(Ввод!$B$11*IF(SUMIF(Ввод!$G$20:$G$27,"PARALLEL_FTE",Ввод!$E$20:$E$27)=0,1,SUMIF(Ввод!$G$20:$G$27,"PARALLEL_FTE",Ввод!$E$20:$E$27))))</f>
        <v/>
      </c>
      <c r="T46" s="29" t="str">
        <f t="shared" si="7"/>
        <v/>
      </c>
      <c r="U46" s="28"/>
      <c r="V46" s="28"/>
    </row>
    <row r="47" spans="1:22">
      <c r="A47" s="33"/>
      <c r="B47" s="28"/>
      <c r="C47" s="28"/>
      <c r="D47" s="28"/>
      <c r="E47" s="28"/>
      <c r="F47" s="34"/>
      <c r="G47" s="33" t="s">
        <v>82</v>
      </c>
      <c r="H47" s="33"/>
      <c r="I47" s="35"/>
      <c r="J47" s="35"/>
      <c r="K47" s="29" t="str">
        <f t="shared" si="4"/>
        <v/>
      </c>
      <c r="L47" s="30" t="str">
        <f>IF(D47="","",IF(I47&lt;&gt;"",I47,IFERROR(VLOOKUP(K47,'Справочник ролей'!$A$2:$E$20,4,FALSE),0)))</f>
        <v/>
      </c>
      <c r="M47" s="30" t="str">
        <f>IF(D47="","",IF(J47&lt;&gt;"",J47,IFERROR(VLOOKUP(K47,'Справочник ролей'!$A$2:$E$20,5,FALSE),0)))</f>
        <v/>
      </c>
      <c r="N47" s="29" t="str">
        <f>IF(D47="","",IF(G47&lt;&gt;"Авто",G47,IF(Ввод!$B$13&lt;&gt;"Авто",Ввод!$B$13,IFERROR(VLOOKUP(Ввод!$B$5,'Справочник типов'!$A$2:$I$27,9,FALSE),"Всего"))))</f>
        <v/>
      </c>
      <c r="O47" s="31" t="str">
        <f>IF(D47="","",IF(N47="В месяц",MAX(1,SUMIF(Ввод!$G$20:$G$27,"TERM_MONTHS",Ввод!$E$20:$E$27)),IF(N47="На единицу",IF(H47&lt;&gt;"",H47,MAX(1,SUMIF(Ввод!$G$20:$G$27,"QTY",Ввод!$E$20:$E$27))),IF(N47="Ед. × месяц",IF(H47&lt;&gt;"",H47,MAX(1,SUMIF(Ввод!$G$20:$G$27,"QTY",Ввод!$E$20:$E$27)))*MAX(1,SUMIF(Ввод!$G$20:$G$27,"TERM_MONTHS",Ввод!$E$20:$E$27)),1))))</f>
        <v/>
      </c>
      <c r="P47" s="31" t="str">
        <f>IF(D47="","",F47*O47*IF(SUMIF(Ввод!$G$20:$G$27,"COMPLEXITY",Ввод!$E$20:$E$27)=0,1,SUMIF(Ввод!$G$20:$G$27,"COMPLEXITY",Ввод!$E$20:$E$27))*(1+SUMIF(Ввод!$G$20:$G$27,"RISK_PCT",Ввод!$E$20:$E$27)))</f>
        <v/>
      </c>
      <c r="Q47" s="30" t="str">
        <f t="shared" si="5"/>
        <v/>
      </c>
      <c r="R47" s="30" t="str">
        <f t="shared" si="6"/>
        <v/>
      </c>
      <c r="S47" s="32" t="str">
        <f>IF(D47="","",P47/(Ввод!$B$11*IF(SUMIF(Ввод!$G$20:$G$27,"PARALLEL_FTE",Ввод!$E$20:$E$27)=0,1,SUMIF(Ввод!$G$20:$G$27,"PARALLEL_FTE",Ввод!$E$20:$E$27))))</f>
        <v/>
      </c>
      <c r="T47" s="29" t="str">
        <f t="shared" si="7"/>
        <v/>
      </c>
      <c r="U47" s="28"/>
      <c r="V47" s="28"/>
    </row>
    <row r="48" spans="1:22">
      <c r="A48" s="33"/>
      <c r="B48" s="28"/>
      <c r="C48" s="28"/>
      <c r="D48" s="28"/>
      <c r="E48" s="28"/>
      <c r="F48" s="34"/>
      <c r="G48" s="33" t="s">
        <v>82</v>
      </c>
      <c r="H48" s="33"/>
      <c r="I48" s="35"/>
      <c r="J48" s="35"/>
      <c r="K48" s="29" t="str">
        <f t="shared" si="4"/>
        <v/>
      </c>
      <c r="L48" s="30" t="str">
        <f>IF(D48="","",IF(I48&lt;&gt;"",I48,IFERROR(VLOOKUP(K48,'Справочник ролей'!$A$2:$E$20,4,FALSE),0)))</f>
        <v/>
      </c>
      <c r="M48" s="30" t="str">
        <f>IF(D48="","",IF(J48&lt;&gt;"",J48,IFERROR(VLOOKUP(K48,'Справочник ролей'!$A$2:$E$20,5,FALSE),0)))</f>
        <v/>
      </c>
      <c r="N48" s="29" t="str">
        <f>IF(D48="","",IF(G48&lt;&gt;"Авто",G48,IF(Ввод!$B$13&lt;&gt;"Авто",Ввод!$B$13,IFERROR(VLOOKUP(Ввод!$B$5,'Справочник типов'!$A$2:$I$27,9,FALSE),"Всего"))))</f>
        <v/>
      </c>
      <c r="O48" s="31" t="str">
        <f>IF(D48="","",IF(N48="В месяц",MAX(1,SUMIF(Ввод!$G$20:$G$27,"TERM_MONTHS",Ввод!$E$20:$E$27)),IF(N48="На единицу",IF(H48&lt;&gt;"",H48,MAX(1,SUMIF(Ввод!$G$20:$G$27,"QTY",Ввод!$E$20:$E$27))),IF(N48="Ед. × месяц",IF(H48&lt;&gt;"",H48,MAX(1,SUMIF(Ввод!$G$20:$G$27,"QTY",Ввод!$E$20:$E$27)))*MAX(1,SUMIF(Ввод!$G$20:$G$27,"TERM_MONTHS",Ввод!$E$20:$E$27)),1))))</f>
        <v/>
      </c>
      <c r="P48" s="31" t="str">
        <f>IF(D48="","",F48*O48*IF(SUMIF(Ввод!$G$20:$G$27,"COMPLEXITY",Ввод!$E$20:$E$27)=0,1,SUMIF(Ввод!$G$20:$G$27,"COMPLEXITY",Ввод!$E$20:$E$27))*(1+SUMIF(Ввод!$G$20:$G$27,"RISK_PCT",Ввод!$E$20:$E$27)))</f>
        <v/>
      </c>
      <c r="Q48" s="30" t="str">
        <f t="shared" si="5"/>
        <v/>
      </c>
      <c r="R48" s="30" t="str">
        <f t="shared" si="6"/>
        <v/>
      </c>
      <c r="S48" s="32" t="str">
        <f>IF(D48="","",P48/(Ввод!$B$11*IF(SUMIF(Ввод!$G$20:$G$27,"PARALLEL_FTE",Ввод!$E$20:$E$27)=0,1,SUMIF(Ввод!$G$20:$G$27,"PARALLEL_FTE",Ввод!$E$20:$E$27))))</f>
        <v/>
      </c>
      <c r="T48" s="29" t="str">
        <f t="shared" si="7"/>
        <v/>
      </c>
      <c r="U48" s="28"/>
      <c r="V48" s="28"/>
    </row>
    <row r="49" spans="1:22">
      <c r="A49" s="33"/>
      <c r="B49" s="28"/>
      <c r="C49" s="28"/>
      <c r="D49" s="28"/>
      <c r="E49" s="28"/>
      <c r="F49" s="34"/>
      <c r="G49" s="33" t="s">
        <v>82</v>
      </c>
      <c r="H49" s="33"/>
      <c r="I49" s="35"/>
      <c r="J49" s="35"/>
      <c r="K49" s="29" t="str">
        <f t="shared" si="4"/>
        <v/>
      </c>
      <c r="L49" s="30" t="str">
        <f>IF(D49="","",IF(I49&lt;&gt;"",I49,IFERROR(VLOOKUP(K49,'Справочник ролей'!$A$2:$E$20,4,FALSE),0)))</f>
        <v/>
      </c>
      <c r="M49" s="30" t="str">
        <f>IF(D49="","",IF(J49&lt;&gt;"",J49,IFERROR(VLOOKUP(K49,'Справочник ролей'!$A$2:$E$20,5,FALSE),0)))</f>
        <v/>
      </c>
      <c r="N49" s="29" t="str">
        <f>IF(D49="","",IF(G49&lt;&gt;"Авто",G49,IF(Ввод!$B$13&lt;&gt;"Авто",Ввод!$B$13,IFERROR(VLOOKUP(Ввод!$B$5,'Справочник типов'!$A$2:$I$27,9,FALSE),"Всего"))))</f>
        <v/>
      </c>
      <c r="O49" s="31" t="str">
        <f>IF(D49="","",IF(N49="В месяц",MAX(1,SUMIF(Ввод!$G$20:$G$27,"TERM_MONTHS",Ввод!$E$20:$E$27)),IF(N49="На единицу",IF(H49&lt;&gt;"",H49,MAX(1,SUMIF(Ввод!$G$20:$G$27,"QTY",Ввод!$E$20:$E$27))),IF(N49="Ед. × месяц",IF(H49&lt;&gt;"",H49,MAX(1,SUMIF(Ввод!$G$20:$G$27,"QTY",Ввод!$E$20:$E$27)))*MAX(1,SUMIF(Ввод!$G$20:$G$27,"TERM_MONTHS",Ввод!$E$20:$E$27)),1))))</f>
        <v/>
      </c>
      <c r="P49" s="31" t="str">
        <f>IF(D49="","",F49*O49*IF(SUMIF(Ввод!$G$20:$G$27,"COMPLEXITY",Ввод!$E$20:$E$27)=0,1,SUMIF(Ввод!$G$20:$G$27,"COMPLEXITY",Ввод!$E$20:$E$27))*(1+SUMIF(Ввод!$G$20:$G$27,"RISK_PCT",Ввод!$E$20:$E$27)))</f>
        <v/>
      </c>
      <c r="Q49" s="30" t="str">
        <f t="shared" si="5"/>
        <v/>
      </c>
      <c r="R49" s="30" t="str">
        <f t="shared" si="6"/>
        <v/>
      </c>
      <c r="S49" s="32" t="str">
        <f>IF(D49="","",P49/(Ввод!$B$11*IF(SUMIF(Ввод!$G$20:$G$27,"PARALLEL_FTE",Ввод!$E$20:$E$27)=0,1,SUMIF(Ввод!$G$20:$G$27,"PARALLEL_FTE",Ввод!$E$20:$E$27))))</f>
        <v/>
      </c>
      <c r="T49" s="29" t="str">
        <f t="shared" si="7"/>
        <v/>
      </c>
      <c r="U49" s="28"/>
      <c r="V49" s="28"/>
    </row>
    <row r="50" spans="1:22">
      <c r="A50" s="33"/>
      <c r="B50" s="28"/>
      <c r="C50" s="28"/>
      <c r="D50" s="28"/>
      <c r="E50" s="28"/>
      <c r="F50" s="34"/>
      <c r="G50" s="33" t="s">
        <v>82</v>
      </c>
      <c r="H50" s="33"/>
      <c r="I50" s="35"/>
      <c r="J50" s="35"/>
      <c r="K50" s="29" t="str">
        <f t="shared" si="4"/>
        <v/>
      </c>
      <c r="L50" s="30" t="str">
        <f>IF(D50="","",IF(I50&lt;&gt;"",I50,IFERROR(VLOOKUP(K50,'Справочник ролей'!$A$2:$E$20,4,FALSE),0)))</f>
        <v/>
      </c>
      <c r="M50" s="30" t="str">
        <f>IF(D50="","",IF(J50&lt;&gt;"",J50,IFERROR(VLOOKUP(K50,'Справочник ролей'!$A$2:$E$20,5,FALSE),0)))</f>
        <v/>
      </c>
      <c r="N50" s="29" t="str">
        <f>IF(D50="","",IF(G50&lt;&gt;"Авто",G50,IF(Ввод!$B$13&lt;&gt;"Авто",Ввод!$B$13,IFERROR(VLOOKUP(Ввод!$B$5,'Справочник типов'!$A$2:$I$27,9,FALSE),"Всего"))))</f>
        <v/>
      </c>
      <c r="O50" s="31" t="str">
        <f>IF(D50="","",IF(N50="В месяц",MAX(1,SUMIF(Ввод!$G$20:$G$27,"TERM_MONTHS",Ввод!$E$20:$E$27)),IF(N50="На единицу",IF(H50&lt;&gt;"",H50,MAX(1,SUMIF(Ввод!$G$20:$G$27,"QTY",Ввод!$E$20:$E$27))),IF(N50="Ед. × месяц",IF(H50&lt;&gt;"",H50,MAX(1,SUMIF(Ввод!$G$20:$G$27,"QTY",Ввод!$E$20:$E$27)))*MAX(1,SUMIF(Ввод!$G$20:$G$27,"TERM_MONTHS",Ввод!$E$20:$E$27)),1))))</f>
        <v/>
      </c>
      <c r="P50" s="31" t="str">
        <f>IF(D50="","",F50*O50*IF(SUMIF(Ввод!$G$20:$G$27,"COMPLEXITY",Ввод!$E$20:$E$27)=0,1,SUMIF(Ввод!$G$20:$G$27,"COMPLEXITY",Ввод!$E$20:$E$27))*(1+SUMIF(Ввод!$G$20:$G$27,"RISK_PCT",Ввод!$E$20:$E$27)))</f>
        <v/>
      </c>
      <c r="Q50" s="30" t="str">
        <f t="shared" si="5"/>
        <v/>
      </c>
      <c r="R50" s="30" t="str">
        <f t="shared" si="6"/>
        <v/>
      </c>
      <c r="S50" s="32" t="str">
        <f>IF(D50="","",P50/(Ввод!$B$11*IF(SUMIF(Ввод!$G$20:$G$27,"PARALLEL_FTE",Ввод!$E$20:$E$27)=0,1,SUMIF(Ввод!$G$20:$G$27,"PARALLEL_FTE",Ввод!$E$20:$E$27))))</f>
        <v/>
      </c>
      <c r="T50" s="29" t="str">
        <f t="shared" si="7"/>
        <v/>
      </c>
      <c r="U50" s="28"/>
      <c r="V50" s="28"/>
    </row>
    <row r="51" spans="1:22">
      <c r="A51" s="33"/>
      <c r="B51" s="28"/>
      <c r="C51" s="28"/>
      <c r="D51" s="28"/>
      <c r="E51" s="28"/>
      <c r="F51" s="34"/>
      <c r="G51" s="33" t="s">
        <v>82</v>
      </c>
      <c r="H51" s="33"/>
      <c r="I51" s="35"/>
      <c r="J51" s="35"/>
      <c r="K51" s="29" t="str">
        <f t="shared" si="4"/>
        <v/>
      </c>
      <c r="L51" s="30" t="str">
        <f>IF(D51="","",IF(I51&lt;&gt;"",I51,IFERROR(VLOOKUP(K51,'Справочник ролей'!$A$2:$E$20,4,FALSE),0)))</f>
        <v/>
      </c>
      <c r="M51" s="30" t="str">
        <f>IF(D51="","",IF(J51&lt;&gt;"",J51,IFERROR(VLOOKUP(K51,'Справочник ролей'!$A$2:$E$20,5,FALSE),0)))</f>
        <v/>
      </c>
      <c r="N51" s="29" t="str">
        <f>IF(D51="","",IF(G51&lt;&gt;"Авто",G51,IF(Ввод!$B$13&lt;&gt;"Авто",Ввод!$B$13,IFERROR(VLOOKUP(Ввод!$B$5,'Справочник типов'!$A$2:$I$27,9,FALSE),"Всего"))))</f>
        <v/>
      </c>
      <c r="O51" s="31" t="str">
        <f>IF(D51="","",IF(N51="В месяц",MAX(1,SUMIF(Ввод!$G$20:$G$27,"TERM_MONTHS",Ввод!$E$20:$E$27)),IF(N51="На единицу",IF(H51&lt;&gt;"",H51,MAX(1,SUMIF(Ввод!$G$20:$G$27,"QTY",Ввод!$E$20:$E$27))),IF(N51="Ед. × месяц",IF(H51&lt;&gt;"",H51,MAX(1,SUMIF(Ввод!$G$20:$G$27,"QTY",Ввод!$E$20:$E$27)))*MAX(1,SUMIF(Ввод!$G$20:$G$27,"TERM_MONTHS",Ввод!$E$20:$E$27)),1))))</f>
        <v/>
      </c>
      <c r="P51" s="31" t="str">
        <f>IF(D51="","",F51*O51*IF(SUMIF(Ввод!$G$20:$G$27,"COMPLEXITY",Ввод!$E$20:$E$27)=0,1,SUMIF(Ввод!$G$20:$G$27,"COMPLEXITY",Ввод!$E$20:$E$27))*(1+SUMIF(Ввод!$G$20:$G$27,"RISK_PCT",Ввод!$E$20:$E$27)))</f>
        <v/>
      </c>
      <c r="Q51" s="30" t="str">
        <f t="shared" si="5"/>
        <v/>
      </c>
      <c r="R51" s="30" t="str">
        <f t="shared" si="6"/>
        <v/>
      </c>
      <c r="S51" s="32" t="str">
        <f>IF(D51="","",P51/(Ввод!$B$11*IF(SUMIF(Ввод!$G$20:$G$27,"PARALLEL_FTE",Ввод!$E$20:$E$27)=0,1,SUMIF(Ввод!$G$20:$G$27,"PARALLEL_FTE",Ввод!$E$20:$E$27))))</f>
        <v/>
      </c>
      <c r="T51" s="29" t="str">
        <f t="shared" si="7"/>
        <v/>
      </c>
      <c r="U51" s="28"/>
      <c r="V51" s="28"/>
    </row>
    <row r="52" spans="1:22">
      <c r="A52" s="33"/>
      <c r="B52" s="28"/>
      <c r="C52" s="28"/>
      <c r="D52" s="28"/>
      <c r="E52" s="28"/>
      <c r="F52" s="34"/>
      <c r="G52" s="33" t="s">
        <v>82</v>
      </c>
      <c r="H52" s="33"/>
      <c r="I52" s="35"/>
      <c r="J52" s="35"/>
      <c r="K52" s="29" t="str">
        <f t="shared" si="4"/>
        <v/>
      </c>
      <c r="L52" s="30" t="str">
        <f>IF(D52="","",IF(I52&lt;&gt;"",I52,IFERROR(VLOOKUP(K52,'Справочник ролей'!$A$2:$E$20,4,FALSE),0)))</f>
        <v/>
      </c>
      <c r="M52" s="30" t="str">
        <f>IF(D52="","",IF(J52&lt;&gt;"",J52,IFERROR(VLOOKUP(K52,'Справочник ролей'!$A$2:$E$20,5,FALSE),0)))</f>
        <v/>
      </c>
      <c r="N52" s="29" t="str">
        <f>IF(D52="","",IF(G52&lt;&gt;"Авто",G52,IF(Ввод!$B$13&lt;&gt;"Авто",Ввод!$B$13,IFERROR(VLOOKUP(Ввод!$B$5,'Справочник типов'!$A$2:$I$27,9,FALSE),"Всего"))))</f>
        <v/>
      </c>
      <c r="O52" s="31" t="str">
        <f>IF(D52="","",IF(N52="В месяц",MAX(1,SUMIF(Ввод!$G$20:$G$27,"TERM_MONTHS",Ввод!$E$20:$E$27)),IF(N52="На единицу",IF(H52&lt;&gt;"",H52,MAX(1,SUMIF(Ввод!$G$20:$G$27,"QTY",Ввод!$E$20:$E$27))),IF(N52="Ед. × месяц",IF(H52&lt;&gt;"",H52,MAX(1,SUMIF(Ввод!$G$20:$G$27,"QTY",Ввод!$E$20:$E$27)))*MAX(1,SUMIF(Ввод!$G$20:$G$27,"TERM_MONTHS",Ввод!$E$20:$E$27)),1))))</f>
        <v/>
      </c>
      <c r="P52" s="31" t="str">
        <f>IF(D52="","",F52*O52*IF(SUMIF(Ввод!$G$20:$G$27,"COMPLEXITY",Ввод!$E$20:$E$27)=0,1,SUMIF(Ввод!$G$20:$G$27,"COMPLEXITY",Ввод!$E$20:$E$27))*(1+SUMIF(Ввод!$G$20:$G$27,"RISK_PCT",Ввод!$E$20:$E$27)))</f>
        <v/>
      </c>
      <c r="Q52" s="30" t="str">
        <f t="shared" si="5"/>
        <v/>
      </c>
      <c r="R52" s="30" t="str">
        <f t="shared" si="6"/>
        <v/>
      </c>
      <c r="S52" s="32" t="str">
        <f>IF(D52="","",P52/(Ввод!$B$11*IF(SUMIF(Ввод!$G$20:$G$27,"PARALLEL_FTE",Ввод!$E$20:$E$27)=0,1,SUMIF(Ввод!$G$20:$G$27,"PARALLEL_FTE",Ввод!$E$20:$E$27))))</f>
        <v/>
      </c>
      <c r="T52" s="29" t="str">
        <f t="shared" si="7"/>
        <v/>
      </c>
      <c r="U52" s="28"/>
      <c r="V52" s="28"/>
    </row>
    <row r="53" spans="1:22">
      <c r="A53" s="33"/>
      <c r="B53" s="28"/>
      <c r="C53" s="28"/>
      <c r="D53" s="28"/>
      <c r="E53" s="28"/>
      <c r="F53" s="34"/>
      <c r="G53" s="33" t="s">
        <v>82</v>
      </c>
      <c r="H53" s="33"/>
      <c r="I53" s="35"/>
      <c r="J53" s="35"/>
      <c r="K53" s="29" t="str">
        <f t="shared" si="4"/>
        <v/>
      </c>
      <c r="L53" s="30" t="str">
        <f>IF(D53="","",IF(I53&lt;&gt;"",I53,IFERROR(VLOOKUP(K53,'Справочник ролей'!$A$2:$E$20,4,FALSE),0)))</f>
        <v/>
      </c>
      <c r="M53" s="30" t="str">
        <f>IF(D53="","",IF(J53&lt;&gt;"",J53,IFERROR(VLOOKUP(K53,'Справочник ролей'!$A$2:$E$20,5,FALSE),0)))</f>
        <v/>
      </c>
      <c r="N53" s="29" t="str">
        <f>IF(D53="","",IF(G53&lt;&gt;"Авто",G53,IF(Ввод!$B$13&lt;&gt;"Авто",Ввод!$B$13,IFERROR(VLOOKUP(Ввод!$B$5,'Справочник типов'!$A$2:$I$27,9,FALSE),"Всего"))))</f>
        <v/>
      </c>
      <c r="O53" s="31" t="str">
        <f>IF(D53="","",IF(N53="В месяц",MAX(1,SUMIF(Ввод!$G$20:$G$27,"TERM_MONTHS",Ввод!$E$20:$E$27)),IF(N53="На единицу",IF(H53&lt;&gt;"",H53,MAX(1,SUMIF(Ввод!$G$20:$G$27,"QTY",Ввод!$E$20:$E$27))),IF(N53="Ед. × месяц",IF(H53&lt;&gt;"",H53,MAX(1,SUMIF(Ввод!$G$20:$G$27,"QTY",Ввод!$E$20:$E$27)))*MAX(1,SUMIF(Ввод!$G$20:$G$27,"TERM_MONTHS",Ввод!$E$20:$E$27)),1))))</f>
        <v/>
      </c>
      <c r="P53" s="31" t="str">
        <f>IF(D53="","",F53*O53*IF(SUMIF(Ввод!$G$20:$G$27,"COMPLEXITY",Ввод!$E$20:$E$27)=0,1,SUMIF(Ввод!$G$20:$G$27,"COMPLEXITY",Ввод!$E$20:$E$27))*(1+SUMIF(Ввод!$G$20:$G$27,"RISK_PCT",Ввод!$E$20:$E$27)))</f>
        <v/>
      </c>
      <c r="Q53" s="30" t="str">
        <f t="shared" si="5"/>
        <v/>
      </c>
      <c r="R53" s="30" t="str">
        <f t="shared" si="6"/>
        <v/>
      </c>
      <c r="S53" s="32" t="str">
        <f>IF(D53="","",P53/(Ввод!$B$11*IF(SUMIF(Ввод!$G$20:$G$27,"PARALLEL_FTE",Ввод!$E$20:$E$27)=0,1,SUMIF(Ввод!$G$20:$G$27,"PARALLEL_FTE",Ввод!$E$20:$E$27))))</f>
        <v/>
      </c>
      <c r="T53" s="29" t="str">
        <f t="shared" si="7"/>
        <v/>
      </c>
      <c r="U53" s="28"/>
      <c r="V53" s="28"/>
    </row>
    <row r="54" spans="1:22">
      <c r="A54" s="33"/>
      <c r="B54" s="28"/>
      <c r="C54" s="28"/>
      <c r="D54" s="28"/>
      <c r="E54" s="28"/>
      <c r="F54" s="34"/>
      <c r="G54" s="33" t="s">
        <v>82</v>
      </c>
      <c r="H54" s="33"/>
      <c r="I54" s="35"/>
      <c r="J54" s="35"/>
      <c r="K54" s="29" t="str">
        <f t="shared" si="4"/>
        <v/>
      </c>
      <c r="L54" s="30" t="str">
        <f>IF(D54="","",IF(I54&lt;&gt;"",I54,IFERROR(VLOOKUP(K54,'Справочник ролей'!$A$2:$E$20,4,FALSE),0)))</f>
        <v/>
      </c>
      <c r="M54" s="30" t="str">
        <f>IF(D54="","",IF(J54&lt;&gt;"",J54,IFERROR(VLOOKUP(K54,'Справочник ролей'!$A$2:$E$20,5,FALSE),0)))</f>
        <v/>
      </c>
      <c r="N54" s="29" t="str">
        <f>IF(D54="","",IF(G54&lt;&gt;"Авто",G54,IF(Ввод!$B$13&lt;&gt;"Авто",Ввод!$B$13,IFERROR(VLOOKUP(Ввод!$B$5,'Справочник типов'!$A$2:$I$27,9,FALSE),"Всего"))))</f>
        <v/>
      </c>
      <c r="O54" s="31" t="str">
        <f>IF(D54="","",IF(N54="В месяц",MAX(1,SUMIF(Ввод!$G$20:$G$27,"TERM_MONTHS",Ввод!$E$20:$E$27)),IF(N54="На единицу",IF(H54&lt;&gt;"",H54,MAX(1,SUMIF(Ввод!$G$20:$G$27,"QTY",Ввод!$E$20:$E$27))),IF(N54="Ед. × месяц",IF(H54&lt;&gt;"",H54,MAX(1,SUMIF(Ввод!$G$20:$G$27,"QTY",Ввод!$E$20:$E$27)))*MAX(1,SUMIF(Ввод!$G$20:$G$27,"TERM_MONTHS",Ввод!$E$20:$E$27)),1))))</f>
        <v/>
      </c>
      <c r="P54" s="31" t="str">
        <f>IF(D54="","",F54*O54*IF(SUMIF(Ввод!$G$20:$G$27,"COMPLEXITY",Ввод!$E$20:$E$27)=0,1,SUMIF(Ввод!$G$20:$G$27,"COMPLEXITY",Ввод!$E$20:$E$27))*(1+SUMIF(Ввод!$G$20:$G$27,"RISK_PCT",Ввод!$E$20:$E$27)))</f>
        <v/>
      </c>
      <c r="Q54" s="30" t="str">
        <f t="shared" si="5"/>
        <v/>
      </c>
      <c r="R54" s="30" t="str">
        <f t="shared" si="6"/>
        <v/>
      </c>
      <c r="S54" s="32" t="str">
        <f>IF(D54="","",P54/(Ввод!$B$11*IF(SUMIF(Ввод!$G$20:$G$27,"PARALLEL_FTE",Ввод!$E$20:$E$27)=0,1,SUMIF(Ввод!$G$20:$G$27,"PARALLEL_FTE",Ввод!$E$20:$E$27))))</f>
        <v/>
      </c>
      <c r="T54" s="29" t="str">
        <f t="shared" si="7"/>
        <v/>
      </c>
      <c r="U54" s="28"/>
      <c r="V54" s="28"/>
    </row>
    <row r="55" spans="1:22">
      <c r="A55" s="33"/>
      <c r="B55" s="28"/>
      <c r="C55" s="28"/>
      <c r="D55" s="28"/>
      <c r="E55" s="28"/>
      <c r="F55" s="34"/>
      <c r="G55" s="33" t="s">
        <v>82</v>
      </c>
      <c r="H55" s="33"/>
      <c r="I55" s="35"/>
      <c r="J55" s="35"/>
      <c r="K55" s="29" t="str">
        <f t="shared" si="4"/>
        <v/>
      </c>
      <c r="L55" s="30" t="str">
        <f>IF(D55="","",IF(I55&lt;&gt;"",I55,IFERROR(VLOOKUP(K55,'Справочник ролей'!$A$2:$E$20,4,FALSE),0)))</f>
        <v/>
      </c>
      <c r="M55" s="30" t="str">
        <f>IF(D55="","",IF(J55&lt;&gt;"",J55,IFERROR(VLOOKUP(K55,'Справочник ролей'!$A$2:$E$20,5,FALSE),0)))</f>
        <v/>
      </c>
      <c r="N55" s="29" t="str">
        <f>IF(D55="","",IF(G55&lt;&gt;"Авто",G55,IF(Ввод!$B$13&lt;&gt;"Авто",Ввод!$B$13,IFERROR(VLOOKUP(Ввод!$B$5,'Справочник типов'!$A$2:$I$27,9,FALSE),"Всего"))))</f>
        <v/>
      </c>
      <c r="O55" s="31" t="str">
        <f>IF(D55="","",IF(N55="В месяц",MAX(1,SUMIF(Ввод!$G$20:$G$27,"TERM_MONTHS",Ввод!$E$20:$E$27)),IF(N55="На единицу",IF(H55&lt;&gt;"",H55,MAX(1,SUMIF(Ввод!$G$20:$G$27,"QTY",Ввод!$E$20:$E$27))),IF(N55="Ед. × месяц",IF(H55&lt;&gt;"",H55,MAX(1,SUMIF(Ввод!$G$20:$G$27,"QTY",Ввод!$E$20:$E$27)))*MAX(1,SUMIF(Ввод!$G$20:$G$27,"TERM_MONTHS",Ввод!$E$20:$E$27)),1))))</f>
        <v/>
      </c>
      <c r="P55" s="31" t="str">
        <f>IF(D55="","",F55*O55*IF(SUMIF(Ввод!$G$20:$G$27,"COMPLEXITY",Ввод!$E$20:$E$27)=0,1,SUMIF(Ввод!$G$20:$G$27,"COMPLEXITY",Ввод!$E$20:$E$27))*(1+SUMIF(Ввод!$G$20:$G$27,"RISK_PCT",Ввод!$E$20:$E$27)))</f>
        <v/>
      </c>
      <c r="Q55" s="30" t="str">
        <f t="shared" si="5"/>
        <v/>
      </c>
      <c r="R55" s="30" t="str">
        <f t="shared" si="6"/>
        <v/>
      </c>
      <c r="S55" s="32" t="str">
        <f>IF(D55="","",P55/(Ввод!$B$11*IF(SUMIF(Ввод!$G$20:$G$27,"PARALLEL_FTE",Ввод!$E$20:$E$27)=0,1,SUMIF(Ввод!$G$20:$G$27,"PARALLEL_FTE",Ввод!$E$20:$E$27))))</f>
        <v/>
      </c>
      <c r="T55" s="29" t="str">
        <f t="shared" si="7"/>
        <v/>
      </c>
      <c r="U55" s="28"/>
      <c r="V55" s="28"/>
    </row>
    <row r="56" spans="1:22">
      <c r="A56" s="33"/>
      <c r="B56" s="28"/>
      <c r="C56" s="28"/>
      <c r="D56" s="28"/>
      <c r="E56" s="28"/>
      <c r="F56" s="34"/>
      <c r="G56" s="33" t="s">
        <v>82</v>
      </c>
      <c r="H56" s="33"/>
      <c r="I56" s="35"/>
      <c r="J56" s="35"/>
      <c r="K56" s="29" t="str">
        <f t="shared" si="4"/>
        <v/>
      </c>
      <c r="L56" s="30" t="str">
        <f>IF(D56="","",IF(I56&lt;&gt;"",I56,IFERROR(VLOOKUP(K56,'Справочник ролей'!$A$2:$E$20,4,FALSE),0)))</f>
        <v/>
      </c>
      <c r="M56" s="30" t="str">
        <f>IF(D56="","",IF(J56&lt;&gt;"",J56,IFERROR(VLOOKUP(K56,'Справочник ролей'!$A$2:$E$20,5,FALSE),0)))</f>
        <v/>
      </c>
      <c r="N56" s="29" t="str">
        <f>IF(D56="","",IF(G56&lt;&gt;"Авто",G56,IF(Ввод!$B$13&lt;&gt;"Авто",Ввод!$B$13,IFERROR(VLOOKUP(Ввод!$B$5,'Справочник типов'!$A$2:$I$27,9,FALSE),"Всего"))))</f>
        <v/>
      </c>
      <c r="O56" s="31" t="str">
        <f>IF(D56="","",IF(N56="В месяц",MAX(1,SUMIF(Ввод!$G$20:$G$27,"TERM_MONTHS",Ввод!$E$20:$E$27)),IF(N56="На единицу",IF(H56&lt;&gt;"",H56,MAX(1,SUMIF(Ввод!$G$20:$G$27,"QTY",Ввод!$E$20:$E$27))),IF(N56="Ед. × месяц",IF(H56&lt;&gt;"",H56,MAX(1,SUMIF(Ввод!$G$20:$G$27,"QTY",Ввод!$E$20:$E$27)))*MAX(1,SUMIF(Ввод!$G$20:$G$27,"TERM_MONTHS",Ввод!$E$20:$E$27)),1))))</f>
        <v/>
      </c>
      <c r="P56" s="31" t="str">
        <f>IF(D56="","",F56*O56*IF(SUMIF(Ввод!$G$20:$G$27,"COMPLEXITY",Ввод!$E$20:$E$27)=0,1,SUMIF(Ввод!$G$20:$G$27,"COMPLEXITY",Ввод!$E$20:$E$27))*(1+SUMIF(Ввод!$G$20:$G$27,"RISK_PCT",Ввод!$E$20:$E$27)))</f>
        <v/>
      </c>
      <c r="Q56" s="30" t="str">
        <f t="shared" si="5"/>
        <v/>
      </c>
      <c r="R56" s="30" t="str">
        <f t="shared" si="6"/>
        <v/>
      </c>
      <c r="S56" s="32" t="str">
        <f>IF(D56="","",P56/(Ввод!$B$11*IF(SUMIF(Ввод!$G$20:$G$27,"PARALLEL_FTE",Ввод!$E$20:$E$27)=0,1,SUMIF(Ввод!$G$20:$G$27,"PARALLEL_FTE",Ввод!$E$20:$E$27))))</f>
        <v/>
      </c>
      <c r="T56" s="29" t="str">
        <f t="shared" si="7"/>
        <v/>
      </c>
      <c r="U56" s="28"/>
      <c r="V56" s="28"/>
    </row>
    <row r="57" spans="1:22">
      <c r="A57" s="33"/>
      <c r="B57" s="28"/>
      <c r="C57" s="28"/>
      <c r="D57" s="28"/>
      <c r="E57" s="28"/>
      <c r="F57" s="34"/>
      <c r="G57" s="33" t="s">
        <v>82</v>
      </c>
      <c r="H57" s="33"/>
      <c r="I57" s="35"/>
      <c r="J57" s="35"/>
      <c r="K57" s="29" t="str">
        <f t="shared" si="4"/>
        <v/>
      </c>
      <c r="L57" s="30" t="str">
        <f>IF(D57="","",IF(I57&lt;&gt;"",I57,IFERROR(VLOOKUP(K57,'Справочник ролей'!$A$2:$E$20,4,FALSE),0)))</f>
        <v/>
      </c>
      <c r="M57" s="30" t="str">
        <f>IF(D57="","",IF(J57&lt;&gt;"",J57,IFERROR(VLOOKUP(K57,'Справочник ролей'!$A$2:$E$20,5,FALSE),0)))</f>
        <v/>
      </c>
      <c r="N57" s="29" t="str">
        <f>IF(D57="","",IF(G57&lt;&gt;"Авто",G57,IF(Ввод!$B$13&lt;&gt;"Авто",Ввод!$B$13,IFERROR(VLOOKUP(Ввод!$B$5,'Справочник типов'!$A$2:$I$27,9,FALSE),"Всего"))))</f>
        <v/>
      </c>
      <c r="O57" s="31" t="str">
        <f>IF(D57="","",IF(N57="В месяц",MAX(1,SUMIF(Ввод!$G$20:$G$27,"TERM_MONTHS",Ввод!$E$20:$E$27)),IF(N57="На единицу",IF(H57&lt;&gt;"",H57,MAX(1,SUMIF(Ввод!$G$20:$G$27,"QTY",Ввод!$E$20:$E$27))),IF(N57="Ед. × месяц",IF(H57&lt;&gt;"",H57,MAX(1,SUMIF(Ввод!$G$20:$G$27,"QTY",Ввод!$E$20:$E$27)))*MAX(1,SUMIF(Ввод!$G$20:$G$27,"TERM_MONTHS",Ввод!$E$20:$E$27)),1))))</f>
        <v/>
      </c>
      <c r="P57" s="31" t="str">
        <f>IF(D57="","",F57*O57*IF(SUMIF(Ввод!$G$20:$G$27,"COMPLEXITY",Ввод!$E$20:$E$27)=0,1,SUMIF(Ввод!$G$20:$G$27,"COMPLEXITY",Ввод!$E$20:$E$27))*(1+SUMIF(Ввод!$G$20:$G$27,"RISK_PCT",Ввод!$E$20:$E$27)))</f>
        <v/>
      </c>
      <c r="Q57" s="30" t="str">
        <f t="shared" si="5"/>
        <v/>
      </c>
      <c r="R57" s="30" t="str">
        <f t="shared" si="6"/>
        <v/>
      </c>
      <c r="S57" s="32" t="str">
        <f>IF(D57="","",P57/(Ввод!$B$11*IF(SUMIF(Ввод!$G$20:$G$27,"PARALLEL_FTE",Ввод!$E$20:$E$27)=0,1,SUMIF(Ввод!$G$20:$G$27,"PARALLEL_FTE",Ввод!$E$20:$E$27))))</f>
        <v/>
      </c>
      <c r="T57" s="29" t="str">
        <f t="shared" si="7"/>
        <v/>
      </c>
      <c r="U57" s="28"/>
      <c r="V57" s="28"/>
    </row>
    <row r="58" spans="1:22">
      <c r="A58" s="33"/>
      <c r="B58" s="28"/>
      <c r="C58" s="28"/>
      <c r="D58" s="28"/>
      <c r="E58" s="28"/>
      <c r="F58" s="34"/>
      <c r="G58" s="33" t="s">
        <v>82</v>
      </c>
      <c r="H58" s="33"/>
      <c r="I58" s="35"/>
      <c r="J58" s="35"/>
      <c r="K58" s="29" t="str">
        <f t="shared" si="4"/>
        <v/>
      </c>
      <c r="L58" s="30" t="str">
        <f>IF(D58="","",IF(I58&lt;&gt;"",I58,IFERROR(VLOOKUP(K58,'Справочник ролей'!$A$2:$E$20,4,FALSE),0)))</f>
        <v/>
      </c>
      <c r="M58" s="30" t="str">
        <f>IF(D58="","",IF(J58&lt;&gt;"",J58,IFERROR(VLOOKUP(K58,'Справочник ролей'!$A$2:$E$20,5,FALSE),0)))</f>
        <v/>
      </c>
      <c r="N58" s="29" t="str">
        <f>IF(D58="","",IF(G58&lt;&gt;"Авто",G58,IF(Ввод!$B$13&lt;&gt;"Авто",Ввод!$B$13,IFERROR(VLOOKUP(Ввод!$B$5,'Справочник типов'!$A$2:$I$27,9,FALSE),"Всего"))))</f>
        <v/>
      </c>
      <c r="O58" s="31" t="str">
        <f>IF(D58="","",IF(N58="В месяц",MAX(1,SUMIF(Ввод!$G$20:$G$27,"TERM_MONTHS",Ввод!$E$20:$E$27)),IF(N58="На единицу",IF(H58&lt;&gt;"",H58,MAX(1,SUMIF(Ввод!$G$20:$G$27,"QTY",Ввод!$E$20:$E$27))),IF(N58="Ед. × месяц",IF(H58&lt;&gt;"",H58,MAX(1,SUMIF(Ввод!$G$20:$G$27,"QTY",Ввод!$E$20:$E$27)))*MAX(1,SUMIF(Ввод!$G$20:$G$27,"TERM_MONTHS",Ввод!$E$20:$E$27)),1))))</f>
        <v/>
      </c>
      <c r="P58" s="31" t="str">
        <f>IF(D58="","",F58*O58*IF(SUMIF(Ввод!$G$20:$G$27,"COMPLEXITY",Ввод!$E$20:$E$27)=0,1,SUMIF(Ввод!$G$20:$G$27,"COMPLEXITY",Ввод!$E$20:$E$27))*(1+SUMIF(Ввод!$G$20:$G$27,"RISK_PCT",Ввод!$E$20:$E$27)))</f>
        <v/>
      </c>
      <c r="Q58" s="30" t="str">
        <f t="shared" si="5"/>
        <v/>
      </c>
      <c r="R58" s="30" t="str">
        <f t="shared" si="6"/>
        <v/>
      </c>
      <c r="S58" s="32" t="str">
        <f>IF(D58="","",P58/(Ввод!$B$11*IF(SUMIF(Ввод!$G$20:$G$27,"PARALLEL_FTE",Ввод!$E$20:$E$27)=0,1,SUMIF(Ввод!$G$20:$G$27,"PARALLEL_FTE",Ввод!$E$20:$E$27))))</f>
        <v/>
      </c>
      <c r="T58" s="29" t="str">
        <f t="shared" si="7"/>
        <v/>
      </c>
      <c r="U58" s="28"/>
      <c r="V58" s="28"/>
    </row>
    <row r="59" spans="1:22">
      <c r="A59" s="33"/>
      <c r="B59" s="28"/>
      <c r="C59" s="28"/>
      <c r="D59" s="28"/>
      <c r="E59" s="28"/>
      <c r="F59" s="34"/>
      <c r="G59" s="33" t="s">
        <v>82</v>
      </c>
      <c r="H59" s="33"/>
      <c r="I59" s="35"/>
      <c r="J59" s="35"/>
      <c r="K59" s="29" t="str">
        <f t="shared" si="4"/>
        <v/>
      </c>
      <c r="L59" s="30" t="str">
        <f>IF(D59="","",IF(I59&lt;&gt;"",I59,IFERROR(VLOOKUP(K59,'Справочник ролей'!$A$2:$E$20,4,FALSE),0)))</f>
        <v/>
      </c>
      <c r="M59" s="30" t="str">
        <f>IF(D59="","",IF(J59&lt;&gt;"",J59,IFERROR(VLOOKUP(K59,'Справочник ролей'!$A$2:$E$20,5,FALSE),0)))</f>
        <v/>
      </c>
      <c r="N59" s="29" t="str">
        <f>IF(D59="","",IF(G59&lt;&gt;"Авто",G59,IF(Ввод!$B$13&lt;&gt;"Авто",Ввод!$B$13,IFERROR(VLOOKUP(Ввод!$B$5,'Справочник типов'!$A$2:$I$27,9,FALSE),"Всего"))))</f>
        <v/>
      </c>
      <c r="O59" s="31" t="str">
        <f>IF(D59="","",IF(N59="В месяц",MAX(1,SUMIF(Ввод!$G$20:$G$27,"TERM_MONTHS",Ввод!$E$20:$E$27)),IF(N59="На единицу",IF(H59&lt;&gt;"",H59,MAX(1,SUMIF(Ввод!$G$20:$G$27,"QTY",Ввод!$E$20:$E$27))),IF(N59="Ед. × месяц",IF(H59&lt;&gt;"",H59,MAX(1,SUMIF(Ввод!$G$20:$G$27,"QTY",Ввод!$E$20:$E$27)))*MAX(1,SUMIF(Ввод!$G$20:$G$27,"TERM_MONTHS",Ввод!$E$20:$E$27)),1))))</f>
        <v/>
      </c>
      <c r="P59" s="31" t="str">
        <f>IF(D59="","",F59*O59*IF(SUMIF(Ввод!$G$20:$G$27,"COMPLEXITY",Ввод!$E$20:$E$27)=0,1,SUMIF(Ввод!$G$20:$G$27,"COMPLEXITY",Ввод!$E$20:$E$27))*(1+SUMIF(Ввод!$G$20:$G$27,"RISK_PCT",Ввод!$E$20:$E$27)))</f>
        <v/>
      </c>
      <c r="Q59" s="30" t="str">
        <f t="shared" si="5"/>
        <v/>
      </c>
      <c r="R59" s="30" t="str">
        <f t="shared" si="6"/>
        <v/>
      </c>
      <c r="S59" s="32" t="str">
        <f>IF(D59="","",P59/(Ввод!$B$11*IF(SUMIF(Ввод!$G$20:$G$27,"PARALLEL_FTE",Ввод!$E$20:$E$27)=0,1,SUMIF(Ввод!$G$20:$G$27,"PARALLEL_FTE",Ввод!$E$20:$E$27))))</f>
        <v/>
      </c>
      <c r="T59" s="29" t="str">
        <f t="shared" si="7"/>
        <v/>
      </c>
      <c r="U59" s="28"/>
      <c r="V59" s="28"/>
    </row>
    <row r="60" spans="1:22">
      <c r="A60" s="33"/>
      <c r="B60" s="28"/>
      <c r="C60" s="28"/>
      <c r="D60" s="28"/>
      <c r="E60" s="28"/>
      <c r="F60" s="34"/>
      <c r="G60" s="33" t="s">
        <v>82</v>
      </c>
      <c r="H60" s="33"/>
      <c r="I60" s="35"/>
      <c r="J60" s="35"/>
      <c r="K60" s="29" t="str">
        <f t="shared" si="4"/>
        <v/>
      </c>
      <c r="L60" s="30" t="str">
        <f>IF(D60="","",IF(I60&lt;&gt;"",I60,IFERROR(VLOOKUP(K60,'Справочник ролей'!$A$2:$E$20,4,FALSE),0)))</f>
        <v/>
      </c>
      <c r="M60" s="30" t="str">
        <f>IF(D60="","",IF(J60&lt;&gt;"",J60,IFERROR(VLOOKUP(K60,'Справочник ролей'!$A$2:$E$20,5,FALSE),0)))</f>
        <v/>
      </c>
      <c r="N60" s="29" t="str">
        <f>IF(D60="","",IF(G60&lt;&gt;"Авто",G60,IF(Ввод!$B$13&lt;&gt;"Авто",Ввод!$B$13,IFERROR(VLOOKUP(Ввод!$B$5,'Справочник типов'!$A$2:$I$27,9,FALSE),"Всего"))))</f>
        <v/>
      </c>
      <c r="O60" s="31" t="str">
        <f>IF(D60="","",IF(N60="В месяц",MAX(1,SUMIF(Ввод!$G$20:$G$27,"TERM_MONTHS",Ввод!$E$20:$E$27)),IF(N60="На единицу",IF(H60&lt;&gt;"",H60,MAX(1,SUMIF(Ввод!$G$20:$G$27,"QTY",Ввод!$E$20:$E$27))),IF(N60="Ед. × месяц",IF(H60&lt;&gt;"",H60,MAX(1,SUMIF(Ввод!$G$20:$G$27,"QTY",Ввод!$E$20:$E$27)))*MAX(1,SUMIF(Ввод!$G$20:$G$27,"TERM_MONTHS",Ввод!$E$20:$E$27)),1))))</f>
        <v/>
      </c>
      <c r="P60" s="31" t="str">
        <f>IF(D60="","",F60*O60*IF(SUMIF(Ввод!$G$20:$G$27,"COMPLEXITY",Ввод!$E$20:$E$27)=0,1,SUMIF(Ввод!$G$20:$G$27,"COMPLEXITY",Ввод!$E$20:$E$27))*(1+SUMIF(Ввод!$G$20:$G$27,"RISK_PCT",Ввод!$E$20:$E$27)))</f>
        <v/>
      </c>
      <c r="Q60" s="30" t="str">
        <f t="shared" si="5"/>
        <v/>
      </c>
      <c r="R60" s="30" t="str">
        <f t="shared" si="6"/>
        <v/>
      </c>
      <c r="S60" s="32" t="str">
        <f>IF(D60="","",P60/(Ввод!$B$11*IF(SUMIF(Ввод!$G$20:$G$27,"PARALLEL_FTE",Ввод!$E$20:$E$27)=0,1,SUMIF(Ввод!$G$20:$G$27,"PARALLEL_FTE",Ввод!$E$20:$E$27))))</f>
        <v/>
      </c>
      <c r="T60" s="29" t="str">
        <f t="shared" si="7"/>
        <v/>
      </c>
      <c r="U60" s="28"/>
      <c r="V60" s="28"/>
    </row>
    <row r="61" spans="1:22">
      <c r="A61" s="33"/>
      <c r="B61" s="28"/>
      <c r="C61" s="28"/>
      <c r="D61" s="28"/>
      <c r="E61" s="28"/>
      <c r="F61" s="34"/>
      <c r="G61" s="33" t="s">
        <v>82</v>
      </c>
      <c r="H61" s="33"/>
      <c r="I61" s="35"/>
      <c r="J61" s="35"/>
      <c r="K61" s="29" t="str">
        <f t="shared" si="4"/>
        <v/>
      </c>
      <c r="L61" s="30" t="str">
        <f>IF(D61="","",IF(I61&lt;&gt;"",I61,IFERROR(VLOOKUP(K61,'Справочник ролей'!$A$2:$E$20,4,FALSE),0)))</f>
        <v/>
      </c>
      <c r="M61" s="30" t="str">
        <f>IF(D61="","",IF(J61&lt;&gt;"",J61,IFERROR(VLOOKUP(K61,'Справочник ролей'!$A$2:$E$20,5,FALSE),0)))</f>
        <v/>
      </c>
      <c r="N61" s="29" t="str">
        <f>IF(D61="","",IF(G61&lt;&gt;"Авто",G61,IF(Ввод!$B$13&lt;&gt;"Авто",Ввод!$B$13,IFERROR(VLOOKUP(Ввод!$B$5,'Справочник типов'!$A$2:$I$27,9,FALSE),"Всего"))))</f>
        <v/>
      </c>
      <c r="O61" s="31" t="str">
        <f>IF(D61="","",IF(N61="В месяц",MAX(1,SUMIF(Ввод!$G$20:$G$27,"TERM_MONTHS",Ввод!$E$20:$E$27)),IF(N61="На единицу",IF(H61&lt;&gt;"",H61,MAX(1,SUMIF(Ввод!$G$20:$G$27,"QTY",Ввод!$E$20:$E$27))),IF(N61="Ед. × месяц",IF(H61&lt;&gt;"",H61,MAX(1,SUMIF(Ввод!$G$20:$G$27,"QTY",Ввод!$E$20:$E$27)))*MAX(1,SUMIF(Ввод!$G$20:$G$27,"TERM_MONTHS",Ввод!$E$20:$E$27)),1))))</f>
        <v/>
      </c>
      <c r="P61" s="31" t="str">
        <f>IF(D61="","",F61*O61*IF(SUMIF(Ввод!$G$20:$G$27,"COMPLEXITY",Ввод!$E$20:$E$27)=0,1,SUMIF(Ввод!$G$20:$G$27,"COMPLEXITY",Ввод!$E$20:$E$27))*(1+SUMIF(Ввод!$G$20:$G$27,"RISK_PCT",Ввод!$E$20:$E$27)))</f>
        <v/>
      </c>
      <c r="Q61" s="30" t="str">
        <f t="shared" si="5"/>
        <v/>
      </c>
      <c r="R61" s="30" t="str">
        <f t="shared" si="6"/>
        <v/>
      </c>
      <c r="S61" s="32" t="str">
        <f>IF(D61="","",P61/(Ввод!$B$11*IF(SUMIF(Ввод!$G$20:$G$27,"PARALLEL_FTE",Ввод!$E$20:$E$27)=0,1,SUMIF(Ввод!$G$20:$G$27,"PARALLEL_FTE",Ввод!$E$20:$E$27))))</f>
        <v/>
      </c>
      <c r="T61" s="29" t="str">
        <f t="shared" si="7"/>
        <v/>
      </c>
      <c r="U61" s="28"/>
      <c r="V61" s="28"/>
    </row>
    <row r="62" spans="1:22">
      <c r="A62" s="33"/>
      <c r="B62" s="28"/>
      <c r="C62" s="28"/>
      <c r="D62" s="28"/>
      <c r="E62" s="28"/>
      <c r="F62" s="34"/>
      <c r="G62" s="33" t="s">
        <v>82</v>
      </c>
      <c r="H62" s="33"/>
      <c r="I62" s="35"/>
      <c r="J62" s="35"/>
      <c r="K62" s="29" t="str">
        <f t="shared" si="4"/>
        <v/>
      </c>
      <c r="L62" s="30" t="str">
        <f>IF(D62="","",IF(I62&lt;&gt;"",I62,IFERROR(VLOOKUP(K62,'Справочник ролей'!$A$2:$E$20,4,FALSE),0)))</f>
        <v/>
      </c>
      <c r="M62" s="30" t="str">
        <f>IF(D62="","",IF(J62&lt;&gt;"",J62,IFERROR(VLOOKUP(K62,'Справочник ролей'!$A$2:$E$20,5,FALSE),0)))</f>
        <v/>
      </c>
      <c r="N62" s="29" t="str">
        <f>IF(D62="","",IF(G62&lt;&gt;"Авто",G62,IF(Ввод!$B$13&lt;&gt;"Авто",Ввод!$B$13,IFERROR(VLOOKUP(Ввод!$B$5,'Справочник типов'!$A$2:$I$27,9,FALSE),"Всего"))))</f>
        <v/>
      </c>
      <c r="O62" s="31" t="str">
        <f>IF(D62="","",IF(N62="В месяц",MAX(1,SUMIF(Ввод!$G$20:$G$27,"TERM_MONTHS",Ввод!$E$20:$E$27)),IF(N62="На единицу",IF(H62&lt;&gt;"",H62,MAX(1,SUMIF(Ввод!$G$20:$G$27,"QTY",Ввод!$E$20:$E$27))),IF(N62="Ед. × месяц",IF(H62&lt;&gt;"",H62,MAX(1,SUMIF(Ввод!$G$20:$G$27,"QTY",Ввод!$E$20:$E$27)))*MAX(1,SUMIF(Ввод!$G$20:$G$27,"TERM_MONTHS",Ввод!$E$20:$E$27)),1))))</f>
        <v/>
      </c>
      <c r="P62" s="31" t="str">
        <f>IF(D62="","",F62*O62*IF(SUMIF(Ввод!$G$20:$G$27,"COMPLEXITY",Ввод!$E$20:$E$27)=0,1,SUMIF(Ввод!$G$20:$G$27,"COMPLEXITY",Ввод!$E$20:$E$27))*(1+SUMIF(Ввод!$G$20:$G$27,"RISK_PCT",Ввод!$E$20:$E$27)))</f>
        <v/>
      </c>
      <c r="Q62" s="30" t="str">
        <f t="shared" si="5"/>
        <v/>
      </c>
      <c r="R62" s="30" t="str">
        <f t="shared" si="6"/>
        <v/>
      </c>
      <c r="S62" s="32" t="str">
        <f>IF(D62="","",P62/(Ввод!$B$11*IF(SUMIF(Ввод!$G$20:$G$27,"PARALLEL_FTE",Ввод!$E$20:$E$27)=0,1,SUMIF(Ввод!$G$20:$G$27,"PARALLEL_FTE",Ввод!$E$20:$E$27))))</f>
        <v/>
      </c>
      <c r="T62" s="29" t="str">
        <f t="shared" si="7"/>
        <v/>
      </c>
      <c r="U62" s="28"/>
      <c r="V62" s="28"/>
    </row>
    <row r="63" spans="1:22">
      <c r="A63" s="33"/>
      <c r="B63" s="28"/>
      <c r="C63" s="28"/>
      <c r="D63" s="28"/>
      <c r="E63" s="28"/>
      <c r="F63" s="34"/>
      <c r="G63" s="33" t="s">
        <v>82</v>
      </c>
      <c r="H63" s="33"/>
      <c r="I63" s="35"/>
      <c r="J63" s="35"/>
      <c r="K63" s="29" t="str">
        <f t="shared" si="4"/>
        <v/>
      </c>
      <c r="L63" s="30" t="str">
        <f>IF(D63="","",IF(I63&lt;&gt;"",I63,IFERROR(VLOOKUP(K63,'Справочник ролей'!$A$2:$E$20,4,FALSE),0)))</f>
        <v/>
      </c>
      <c r="M63" s="30" t="str">
        <f>IF(D63="","",IF(J63&lt;&gt;"",J63,IFERROR(VLOOKUP(K63,'Справочник ролей'!$A$2:$E$20,5,FALSE),0)))</f>
        <v/>
      </c>
      <c r="N63" s="29" t="str">
        <f>IF(D63="","",IF(G63&lt;&gt;"Авто",G63,IF(Ввод!$B$13&lt;&gt;"Авто",Ввод!$B$13,IFERROR(VLOOKUP(Ввод!$B$5,'Справочник типов'!$A$2:$I$27,9,FALSE),"Всего"))))</f>
        <v/>
      </c>
      <c r="O63" s="31" t="str">
        <f>IF(D63="","",IF(N63="В месяц",MAX(1,SUMIF(Ввод!$G$20:$G$27,"TERM_MONTHS",Ввод!$E$20:$E$27)),IF(N63="На единицу",IF(H63&lt;&gt;"",H63,MAX(1,SUMIF(Ввод!$G$20:$G$27,"QTY",Ввод!$E$20:$E$27))),IF(N63="Ед. × месяц",IF(H63&lt;&gt;"",H63,MAX(1,SUMIF(Ввод!$G$20:$G$27,"QTY",Ввод!$E$20:$E$27)))*MAX(1,SUMIF(Ввод!$G$20:$G$27,"TERM_MONTHS",Ввод!$E$20:$E$27)),1))))</f>
        <v/>
      </c>
      <c r="P63" s="31" t="str">
        <f>IF(D63="","",F63*O63*IF(SUMIF(Ввод!$G$20:$G$27,"COMPLEXITY",Ввод!$E$20:$E$27)=0,1,SUMIF(Ввод!$G$20:$G$27,"COMPLEXITY",Ввод!$E$20:$E$27))*(1+SUMIF(Ввод!$G$20:$G$27,"RISK_PCT",Ввод!$E$20:$E$27)))</f>
        <v/>
      </c>
      <c r="Q63" s="30" t="str">
        <f t="shared" si="5"/>
        <v/>
      </c>
      <c r="R63" s="30" t="str">
        <f t="shared" si="6"/>
        <v/>
      </c>
      <c r="S63" s="32" t="str">
        <f>IF(D63="","",P63/(Ввод!$B$11*IF(SUMIF(Ввод!$G$20:$G$27,"PARALLEL_FTE",Ввод!$E$20:$E$27)=0,1,SUMIF(Ввод!$G$20:$G$27,"PARALLEL_FTE",Ввод!$E$20:$E$27))))</f>
        <v/>
      </c>
      <c r="T63" s="29" t="str">
        <f t="shared" si="7"/>
        <v/>
      </c>
      <c r="U63" s="28"/>
      <c r="V63" s="28"/>
    </row>
    <row r="64" spans="1:22">
      <c r="A64" s="33"/>
      <c r="B64" s="28"/>
      <c r="C64" s="28"/>
      <c r="D64" s="28"/>
      <c r="E64" s="28"/>
      <c r="F64" s="34"/>
      <c r="G64" s="33" t="s">
        <v>82</v>
      </c>
      <c r="H64" s="33"/>
      <c r="I64" s="35"/>
      <c r="J64" s="35"/>
      <c r="K64" s="29" t="str">
        <f t="shared" si="4"/>
        <v/>
      </c>
      <c r="L64" s="30" t="str">
        <f>IF(D64="","",IF(I64&lt;&gt;"",I64,IFERROR(VLOOKUP(K64,'Справочник ролей'!$A$2:$E$20,4,FALSE),0)))</f>
        <v/>
      </c>
      <c r="M64" s="30" t="str">
        <f>IF(D64="","",IF(J64&lt;&gt;"",J64,IFERROR(VLOOKUP(K64,'Справочник ролей'!$A$2:$E$20,5,FALSE),0)))</f>
        <v/>
      </c>
      <c r="N64" s="29" t="str">
        <f>IF(D64="","",IF(G64&lt;&gt;"Авто",G64,IF(Ввод!$B$13&lt;&gt;"Авто",Ввод!$B$13,IFERROR(VLOOKUP(Ввод!$B$5,'Справочник типов'!$A$2:$I$27,9,FALSE),"Всего"))))</f>
        <v/>
      </c>
      <c r="O64" s="31" t="str">
        <f>IF(D64="","",IF(N64="В месяц",MAX(1,SUMIF(Ввод!$G$20:$G$27,"TERM_MONTHS",Ввод!$E$20:$E$27)),IF(N64="На единицу",IF(H64&lt;&gt;"",H64,MAX(1,SUMIF(Ввод!$G$20:$G$27,"QTY",Ввод!$E$20:$E$27))),IF(N64="Ед. × месяц",IF(H64&lt;&gt;"",H64,MAX(1,SUMIF(Ввод!$G$20:$G$27,"QTY",Ввод!$E$20:$E$27)))*MAX(1,SUMIF(Ввод!$G$20:$G$27,"TERM_MONTHS",Ввод!$E$20:$E$27)),1))))</f>
        <v/>
      </c>
      <c r="P64" s="31" t="str">
        <f>IF(D64="","",F64*O64*IF(SUMIF(Ввод!$G$20:$G$27,"COMPLEXITY",Ввод!$E$20:$E$27)=0,1,SUMIF(Ввод!$G$20:$G$27,"COMPLEXITY",Ввод!$E$20:$E$27))*(1+SUMIF(Ввод!$G$20:$G$27,"RISK_PCT",Ввод!$E$20:$E$27)))</f>
        <v/>
      </c>
      <c r="Q64" s="30" t="str">
        <f t="shared" si="5"/>
        <v/>
      </c>
      <c r="R64" s="30" t="str">
        <f t="shared" si="6"/>
        <v/>
      </c>
      <c r="S64" s="32" t="str">
        <f>IF(D64="","",P64/(Ввод!$B$11*IF(SUMIF(Ввод!$G$20:$G$27,"PARALLEL_FTE",Ввод!$E$20:$E$27)=0,1,SUMIF(Ввод!$G$20:$G$27,"PARALLEL_FTE",Ввод!$E$20:$E$27))))</f>
        <v/>
      </c>
      <c r="T64" s="29" t="str">
        <f t="shared" si="7"/>
        <v/>
      </c>
      <c r="U64" s="28"/>
      <c r="V64" s="28"/>
    </row>
    <row r="65" spans="1:22">
      <c r="A65" s="33"/>
      <c r="B65" s="28"/>
      <c r="C65" s="28"/>
      <c r="D65" s="28"/>
      <c r="E65" s="28"/>
      <c r="F65" s="34"/>
      <c r="G65" s="33" t="s">
        <v>82</v>
      </c>
      <c r="H65" s="33"/>
      <c r="I65" s="35"/>
      <c r="J65" s="35"/>
      <c r="K65" s="29" t="str">
        <f t="shared" si="4"/>
        <v/>
      </c>
      <c r="L65" s="30" t="str">
        <f>IF(D65="","",IF(I65&lt;&gt;"",I65,IFERROR(VLOOKUP(K65,'Справочник ролей'!$A$2:$E$20,4,FALSE),0)))</f>
        <v/>
      </c>
      <c r="M65" s="30" t="str">
        <f>IF(D65="","",IF(J65&lt;&gt;"",J65,IFERROR(VLOOKUP(K65,'Справочник ролей'!$A$2:$E$20,5,FALSE),0)))</f>
        <v/>
      </c>
      <c r="N65" s="29" t="str">
        <f>IF(D65="","",IF(G65&lt;&gt;"Авто",G65,IF(Ввод!$B$13&lt;&gt;"Авто",Ввод!$B$13,IFERROR(VLOOKUP(Ввод!$B$5,'Справочник типов'!$A$2:$I$27,9,FALSE),"Всего"))))</f>
        <v/>
      </c>
      <c r="O65" s="31" t="str">
        <f>IF(D65="","",IF(N65="В месяц",MAX(1,SUMIF(Ввод!$G$20:$G$27,"TERM_MONTHS",Ввод!$E$20:$E$27)),IF(N65="На единицу",IF(H65&lt;&gt;"",H65,MAX(1,SUMIF(Ввод!$G$20:$G$27,"QTY",Ввод!$E$20:$E$27))),IF(N65="Ед. × месяц",IF(H65&lt;&gt;"",H65,MAX(1,SUMIF(Ввод!$G$20:$G$27,"QTY",Ввод!$E$20:$E$27)))*MAX(1,SUMIF(Ввод!$G$20:$G$27,"TERM_MONTHS",Ввод!$E$20:$E$27)),1))))</f>
        <v/>
      </c>
      <c r="P65" s="31" t="str">
        <f>IF(D65="","",F65*O65*IF(SUMIF(Ввод!$G$20:$G$27,"COMPLEXITY",Ввод!$E$20:$E$27)=0,1,SUMIF(Ввод!$G$20:$G$27,"COMPLEXITY",Ввод!$E$20:$E$27))*(1+SUMIF(Ввод!$G$20:$G$27,"RISK_PCT",Ввод!$E$20:$E$27)))</f>
        <v/>
      </c>
      <c r="Q65" s="30" t="str">
        <f t="shared" si="5"/>
        <v/>
      </c>
      <c r="R65" s="30" t="str">
        <f t="shared" si="6"/>
        <v/>
      </c>
      <c r="S65" s="32" t="str">
        <f>IF(D65="","",P65/(Ввод!$B$11*IF(SUMIF(Ввод!$G$20:$G$27,"PARALLEL_FTE",Ввод!$E$20:$E$27)=0,1,SUMIF(Ввод!$G$20:$G$27,"PARALLEL_FTE",Ввод!$E$20:$E$27))))</f>
        <v/>
      </c>
      <c r="T65" s="29" t="str">
        <f t="shared" si="7"/>
        <v/>
      </c>
      <c r="U65" s="28"/>
      <c r="V65" s="28"/>
    </row>
    <row r="66" spans="1:22">
      <c r="A66" s="33"/>
      <c r="B66" s="28"/>
      <c r="C66" s="28"/>
      <c r="D66" s="28"/>
      <c r="E66" s="28"/>
      <c r="F66" s="34"/>
      <c r="G66" s="33" t="s">
        <v>82</v>
      </c>
      <c r="H66" s="33"/>
      <c r="I66" s="35"/>
      <c r="J66" s="35"/>
      <c r="K66" s="29" t="str">
        <f t="shared" si="4"/>
        <v/>
      </c>
      <c r="L66" s="30" t="str">
        <f>IF(D66="","",IF(I66&lt;&gt;"",I66,IFERROR(VLOOKUP(K66,'Справочник ролей'!$A$2:$E$20,4,FALSE),0)))</f>
        <v/>
      </c>
      <c r="M66" s="30" t="str">
        <f>IF(D66="","",IF(J66&lt;&gt;"",J66,IFERROR(VLOOKUP(K66,'Справочник ролей'!$A$2:$E$20,5,FALSE),0)))</f>
        <v/>
      </c>
      <c r="N66" s="29" t="str">
        <f>IF(D66="","",IF(G66&lt;&gt;"Авто",G66,IF(Ввод!$B$13&lt;&gt;"Авто",Ввод!$B$13,IFERROR(VLOOKUP(Ввод!$B$5,'Справочник типов'!$A$2:$I$27,9,FALSE),"Всего"))))</f>
        <v/>
      </c>
      <c r="O66" s="31" t="str">
        <f>IF(D66="","",IF(N66="В месяц",MAX(1,SUMIF(Ввод!$G$20:$G$27,"TERM_MONTHS",Ввод!$E$20:$E$27)),IF(N66="На единицу",IF(H66&lt;&gt;"",H66,MAX(1,SUMIF(Ввод!$G$20:$G$27,"QTY",Ввод!$E$20:$E$27))),IF(N66="Ед. × месяц",IF(H66&lt;&gt;"",H66,MAX(1,SUMIF(Ввод!$G$20:$G$27,"QTY",Ввод!$E$20:$E$27)))*MAX(1,SUMIF(Ввод!$G$20:$G$27,"TERM_MONTHS",Ввод!$E$20:$E$27)),1))))</f>
        <v/>
      </c>
      <c r="P66" s="31" t="str">
        <f>IF(D66="","",F66*O66*IF(SUMIF(Ввод!$G$20:$G$27,"COMPLEXITY",Ввод!$E$20:$E$27)=0,1,SUMIF(Ввод!$G$20:$G$27,"COMPLEXITY",Ввод!$E$20:$E$27))*(1+SUMIF(Ввод!$G$20:$G$27,"RISK_PCT",Ввод!$E$20:$E$27)))</f>
        <v/>
      </c>
      <c r="Q66" s="30" t="str">
        <f t="shared" si="5"/>
        <v/>
      </c>
      <c r="R66" s="30" t="str">
        <f t="shared" si="6"/>
        <v/>
      </c>
      <c r="S66" s="32" t="str">
        <f>IF(D66="","",P66/(Ввод!$B$11*IF(SUMIF(Ввод!$G$20:$G$27,"PARALLEL_FTE",Ввод!$E$20:$E$27)=0,1,SUMIF(Ввод!$G$20:$G$27,"PARALLEL_FTE",Ввод!$E$20:$E$27))))</f>
        <v/>
      </c>
      <c r="T66" s="29" t="str">
        <f t="shared" si="7"/>
        <v/>
      </c>
      <c r="U66" s="28"/>
      <c r="V66" s="28"/>
    </row>
    <row r="67" spans="1:22">
      <c r="A67" s="33"/>
      <c r="B67" s="28"/>
      <c r="C67" s="28"/>
      <c r="D67" s="28"/>
      <c r="E67" s="28"/>
      <c r="F67" s="34"/>
      <c r="G67" s="33" t="s">
        <v>82</v>
      </c>
      <c r="H67" s="33"/>
      <c r="I67" s="35"/>
      <c r="J67" s="35"/>
      <c r="K67" s="29" t="str">
        <f t="shared" si="4"/>
        <v/>
      </c>
      <c r="L67" s="30" t="str">
        <f>IF(D67="","",IF(I67&lt;&gt;"",I67,IFERROR(VLOOKUP(K67,'Справочник ролей'!$A$2:$E$20,4,FALSE),0)))</f>
        <v/>
      </c>
      <c r="M67" s="30" t="str">
        <f>IF(D67="","",IF(J67&lt;&gt;"",J67,IFERROR(VLOOKUP(K67,'Справочник ролей'!$A$2:$E$20,5,FALSE),0)))</f>
        <v/>
      </c>
      <c r="N67" s="29" t="str">
        <f>IF(D67="","",IF(G67&lt;&gt;"Авто",G67,IF(Ввод!$B$13&lt;&gt;"Авто",Ввод!$B$13,IFERROR(VLOOKUP(Ввод!$B$5,'Справочник типов'!$A$2:$I$27,9,FALSE),"Всего"))))</f>
        <v/>
      </c>
      <c r="O67" s="31" t="str">
        <f>IF(D67="","",IF(N67="В месяц",MAX(1,SUMIF(Ввод!$G$20:$G$27,"TERM_MONTHS",Ввод!$E$20:$E$27)),IF(N67="На единицу",IF(H67&lt;&gt;"",H67,MAX(1,SUMIF(Ввод!$G$20:$G$27,"QTY",Ввод!$E$20:$E$27))),IF(N67="Ед. × месяц",IF(H67&lt;&gt;"",H67,MAX(1,SUMIF(Ввод!$G$20:$G$27,"QTY",Ввод!$E$20:$E$27)))*MAX(1,SUMIF(Ввод!$G$20:$G$27,"TERM_MONTHS",Ввод!$E$20:$E$27)),1))))</f>
        <v/>
      </c>
      <c r="P67" s="31" t="str">
        <f>IF(D67="","",F67*O67*IF(SUMIF(Ввод!$G$20:$G$27,"COMPLEXITY",Ввод!$E$20:$E$27)=0,1,SUMIF(Ввод!$G$20:$G$27,"COMPLEXITY",Ввод!$E$20:$E$27))*(1+SUMIF(Ввод!$G$20:$G$27,"RISK_PCT",Ввод!$E$20:$E$27)))</f>
        <v/>
      </c>
      <c r="Q67" s="30" t="str">
        <f t="shared" si="5"/>
        <v/>
      </c>
      <c r="R67" s="30" t="str">
        <f t="shared" si="6"/>
        <v/>
      </c>
      <c r="S67" s="32" t="str">
        <f>IF(D67="","",P67/(Ввод!$B$11*IF(SUMIF(Ввод!$G$20:$G$27,"PARALLEL_FTE",Ввод!$E$20:$E$27)=0,1,SUMIF(Ввод!$G$20:$G$27,"PARALLEL_FTE",Ввод!$E$20:$E$27))))</f>
        <v/>
      </c>
      <c r="T67" s="29" t="str">
        <f t="shared" si="7"/>
        <v/>
      </c>
      <c r="U67" s="28"/>
      <c r="V67" s="28"/>
    </row>
    <row r="68" spans="1:22">
      <c r="A68" s="33"/>
      <c r="B68" s="28"/>
      <c r="C68" s="28"/>
      <c r="D68" s="28"/>
      <c r="E68" s="28"/>
      <c r="F68" s="34"/>
      <c r="G68" s="33" t="s">
        <v>82</v>
      </c>
      <c r="H68" s="33"/>
      <c r="I68" s="35"/>
      <c r="J68" s="35"/>
      <c r="K68" s="29" t="str">
        <f t="shared" si="4"/>
        <v/>
      </c>
      <c r="L68" s="30" t="str">
        <f>IF(D68="","",IF(I68&lt;&gt;"",I68,IFERROR(VLOOKUP(K68,'Справочник ролей'!$A$2:$E$20,4,FALSE),0)))</f>
        <v/>
      </c>
      <c r="M68" s="30" t="str">
        <f>IF(D68="","",IF(J68&lt;&gt;"",J68,IFERROR(VLOOKUP(K68,'Справочник ролей'!$A$2:$E$20,5,FALSE),0)))</f>
        <v/>
      </c>
      <c r="N68" s="29" t="str">
        <f>IF(D68="","",IF(G68&lt;&gt;"Авто",G68,IF(Ввод!$B$13&lt;&gt;"Авто",Ввод!$B$13,IFERROR(VLOOKUP(Ввод!$B$5,'Справочник типов'!$A$2:$I$27,9,FALSE),"Всего"))))</f>
        <v/>
      </c>
      <c r="O68" s="31" t="str">
        <f>IF(D68="","",IF(N68="В месяц",MAX(1,SUMIF(Ввод!$G$20:$G$27,"TERM_MONTHS",Ввод!$E$20:$E$27)),IF(N68="На единицу",IF(H68&lt;&gt;"",H68,MAX(1,SUMIF(Ввод!$G$20:$G$27,"QTY",Ввод!$E$20:$E$27))),IF(N68="Ед. × месяц",IF(H68&lt;&gt;"",H68,MAX(1,SUMIF(Ввод!$G$20:$G$27,"QTY",Ввод!$E$20:$E$27)))*MAX(1,SUMIF(Ввод!$G$20:$G$27,"TERM_MONTHS",Ввод!$E$20:$E$27)),1))))</f>
        <v/>
      </c>
      <c r="P68" s="31" t="str">
        <f>IF(D68="","",F68*O68*IF(SUMIF(Ввод!$G$20:$G$27,"COMPLEXITY",Ввод!$E$20:$E$27)=0,1,SUMIF(Ввод!$G$20:$G$27,"COMPLEXITY",Ввод!$E$20:$E$27))*(1+SUMIF(Ввод!$G$20:$G$27,"RISK_PCT",Ввод!$E$20:$E$27)))</f>
        <v/>
      </c>
      <c r="Q68" s="30" t="str">
        <f t="shared" si="5"/>
        <v/>
      </c>
      <c r="R68" s="30" t="str">
        <f t="shared" si="6"/>
        <v/>
      </c>
      <c r="S68" s="32" t="str">
        <f>IF(D68="","",P68/(Ввод!$B$11*IF(SUMIF(Ввод!$G$20:$G$27,"PARALLEL_FTE",Ввод!$E$20:$E$27)=0,1,SUMIF(Ввод!$G$20:$G$27,"PARALLEL_FTE",Ввод!$E$20:$E$27))))</f>
        <v/>
      </c>
      <c r="T68" s="29" t="str">
        <f t="shared" si="7"/>
        <v/>
      </c>
      <c r="U68" s="28"/>
      <c r="V68" s="28"/>
    </row>
    <row r="69" spans="1:22">
      <c r="A69" s="33"/>
      <c r="B69" s="28"/>
      <c r="C69" s="28"/>
      <c r="D69" s="28"/>
      <c r="E69" s="28"/>
      <c r="F69" s="34"/>
      <c r="G69" s="33" t="s">
        <v>82</v>
      </c>
      <c r="H69" s="33"/>
      <c r="I69" s="35"/>
      <c r="J69" s="35"/>
      <c r="K69" s="29" t="str">
        <f t="shared" si="4"/>
        <v/>
      </c>
      <c r="L69" s="30" t="str">
        <f>IF(D69="","",IF(I69&lt;&gt;"",I69,IFERROR(VLOOKUP(K69,'Справочник ролей'!$A$2:$E$20,4,FALSE),0)))</f>
        <v/>
      </c>
      <c r="M69" s="30" t="str">
        <f>IF(D69="","",IF(J69&lt;&gt;"",J69,IFERROR(VLOOKUP(K69,'Справочник ролей'!$A$2:$E$20,5,FALSE),0)))</f>
        <v/>
      </c>
      <c r="N69" s="29" t="str">
        <f>IF(D69="","",IF(G69&lt;&gt;"Авто",G69,IF(Ввод!$B$13&lt;&gt;"Авто",Ввод!$B$13,IFERROR(VLOOKUP(Ввод!$B$5,'Справочник типов'!$A$2:$I$27,9,FALSE),"Всего"))))</f>
        <v/>
      </c>
      <c r="O69" s="31" t="str">
        <f>IF(D69="","",IF(N69="В месяц",MAX(1,SUMIF(Ввод!$G$20:$G$27,"TERM_MONTHS",Ввод!$E$20:$E$27)),IF(N69="На единицу",IF(H69&lt;&gt;"",H69,MAX(1,SUMIF(Ввод!$G$20:$G$27,"QTY",Ввод!$E$20:$E$27))),IF(N69="Ед. × месяц",IF(H69&lt;&gt;"",H69,MAX(1,SUMIF(Ввод!$G$20:$G$27,"QTY",Ввод!$E$20:$E$27)))*MAX(1,SUMIF(Ввод!$G$20:$G$27,"TERM_MONTHS",Ввод!$E$20:$E$27)),1))))</f>
        <v/>
      </c>
      <c r="P69" s="31" t="str">
        <f>IF(D69="","",F69*O69*IF(SUMIF(Ввод!$G$20:$G$27,"COMPLEXITY",Ввод!$E$20:$E$27)=0,1,SUMIF(Ввод!$G$20:$G$27,"COMPLEXITY",Ввод!$E$20:$E$27))*(1+SUMIF(Ввод!$G$20:$G$27,"RISK_PCT",Ввод!$E$20:$E$27)))</f>
        <v/>
      </c>
      <c r="Q69" s="30" t="str">
        <f t="shared" si="5"/>
        <v/>
      </c>
      <c r="R69" s="30" t="str">
        <f t="shared" si="6"/>
        <v/>
      </c>
      <c r="S69" s="32" t="str">
        <f>IF(D69="","",P69/(Ввод!$B$11*IF(SUMIF(Ввод!$G$20:$G$27,"PARALLEL_FTE",Ввод!$E$20:$E$27)=0,1,SUMIF(Ввод!$G$20:$G$27,"PARALLEL_FTE",Ввод!$E$20:$E$27))))</f>
        <v/>
      </c>
      <c r="T69" s="29" t="str">
        <f t="shared" si="7"/>
        <v/>
      </c>
      <c r="U69" s="28"/>
      <c r="V69" s="28"/>
    </row>
    <row r="70" spans="1:22">
      <c r="A70" s="33"/>
      <c r="B70" s="28"/>
      <c r="C70" s="28"/>
      <c r="D70" s="28"/>
      <c r="E70" s="28"/>
      <c r="F70" s="34"/>
      <c r="G70" s="33" t="s">
        <v>82</v>
      </c>
      <c r="H70" s="33"/>
      <c r="I70" s="35"/>
      <c r="J70" s="35"/>
      <c r="K70" s="29" t="str">
        <f t="shared" ref="K70:K105" si="8">IFERROR(MID(E70,FIND("#",E70)+1,20),"")</f>
        <v/>
      </c>
      <c r="L70" s="30" t="str">
        <f>IF(D70="","",IF(I70&lt;&gt;"",I70,IFERROR(VLOOKUP(K70,'Справочник ролей'!$A$2:$E$20,4,FALSE),0)))</f>
        <v/>
      </c>
      <c r="M70" s="30" t="str">
        <f>IF(D70="","",IF(J70&lt;&gt;"",J70,IFERROR(VLOOKUP(K70,'Справочник ролей'!$A$2:$E$20,5,FALSE),0)))</f>
        <v/>
      </c>
      <c r="N70" s="29" t="str">
        <f>IF(D70="","",IF(G70&lt;&gt;"Авто",G70,IF(Ввод!$B$13&lt;&gt;"Авто",Ввод!$B$13,IFERROR(VLOOKUP(Ввод!$B$5,'Справочник типов'!$A$2:$I$27,9,FALSE),"Всего"))))</f>
        <v/>
      </c>
      <c r="O70" s="31" t="str">
        <f>IF(D70="","",IF(N70="В месяц",MAX(1,SUMIF(Ввод!$G$20:$G$27,"TERM_MONTHS",Ввод!$E$20:$E$27)),IF(N70="На единицу",IF(H70&lt;&gt;"",H70,MAX(1,SUMIF(Ввод!$G$20:$G$27,"QTY",Ввод!$E$20:$E$27))),IF(N70="Ед. × месяц",IF(H70&lt;&gt;"",H70,MAX(1,SUMIF(Ввод!$G$20:$G$27,"QTY",Ввод!$E$20:$E$27)))*MAX(1,SUMIF(Ввод!$G$20:$G$27,"TERM_MONTHS",Ввод!$E$20:$E$27)),1))))</f>
        <v/>
      </c>
      <c r="P70" s="31" t="str">
        <f>IF(D70="","",F70*O70*IF(SUMIF(Ввод!$G$20:$G$27,"COMPLEXITY",Ввод!$E$20:$E$27)=0,1,SUMIF(Ввод!$G$20:$G$27,"COMPLEXITY",Ввод!$E$20:$E$27))*(1+SUMIF(Ввод!$G$20:$G$27,"RISK_PCT",Ввод!$E$20:$E$27)))</f>
        <v/>
      </c>
      <c r="Q70" s="30" t="str">
        <f t="shared" ref="Q70:Q101" si="9">IF(D70="","",P70*L70)</f>
        <v/>
      </c>
      <c r="R70" s="30" t="str">
        <f t="shared" ref="R70:R105" si="10">IF(D70="","",P70*M70)</f>
        <v/>
      </c>
      <c r="S70" s="32" t="str">
        <f>IF(D70="","",P70/(Ввод!$B$11*IF(SUMIF(Ввод!$G$20:$G$27,"PARALLEL_FTE",Ввод!$E$20:$E$27)=0,1,SUMIF(Ввод!$G$20:$G$27,"PARALLEL_FTE",Ввод!$E$20:$E$27))))</f>
        <v/>
      </c>
      <c r="T70" s="29" t="str">
        <f t="shared" ref="T70:T105" si="11">IF(D70="","",IF(F70&lt;=0,"ПРОВЕРИТЬ ЧАСЫ",IF(AND(L70=0,M70=0),"ПРОВЕРИТЬ СТАВКУ","OK")))</f>
        <v/>
      </c>
      <c r="U70" s="28"/>
      <c r="V70" s="28"/>
    </row>
    <row r="71" spans="1:22">
      <c r="A71" s="33"/>
      <c r="B71" s="28"/>
      <c r="C71" s="28"/>
      <c r="D71" s="28"/>
      <c r="E71" s="28"/>
      <c r="F71" s="34"/>
      <c r="G71" s="33" t="s">
        <v>82</v>
      </c>
      <c r="H71" s="33"/>
      <c r="I71" s="35"/>
      <c r="J71" s="35"/>
      <c r="K71" s="29" t="str">
        <f t="shared" si="8"/>
        <v/>
      </c>
      <c r="L71" s="30" t="str">
        <f>IF(D71="","",IF(I71&lt;&gt;"",I71,IFERROR(VLOOKUP(K71,'Справочник ролей'!$A$2:$E$20,4,FALSE),0)))</f>
        <v/>
      </c>
      <c r="M71" s="30" t="str">
        <f>IF(D71="","",IF(J71&lt;&gt;"",J71,IFERROR(VLOOKUP(K71,'Справочник ролей'!$A$2:$E$20,5,FALSE),0)))</f>
        <v/>
      </c>
      <c r="N71" s="29" t="str">
        <f>IF(D71="","",IF(G71&lt;&gt;"Авто",G71,IF(Ввод!$B$13&lt;&gt;"Авто",Ввод!$B$13,IFERROR(VLOOKUP(Ввод!$B$5,'Справочник типов'!$A$2:$I$27,9,FALSE),"Всего"))))</f>
        <v/>
      </c>
      <c r="O71" s="31" t="str">
        <f>IF(D71="","",IF(N71="В месяц",MAX(1,SUMIF(Ввод!$G$20:$G$27,"TERM_MONTHS",Ввод!$E$20:$E$27)),IF(N71="На единицу",IF(H71&lt;&gt;"",H71,MAX(1,SUMIF(Ввод!$G$20:$G$27,"QTY",Ввод!$E$20:$E$27))),IF(N71="Ед. × месяц",IF(H71&lt;&gt;"",H71,MAX(1,SUMIF(Ввод!$G$20:$G$27,"QTY",Ввод!$E$20:$E$27)))*MAX(1,SUMIF(Ввод!$G$20:$G$27,"TERM_MONTHS",Ввод!$E$20:$E$27)),1))))</f>
        <v/>
      </c>
      <c r="P71" s="31" t="str">
        <f>IF(D71="","",F71*O71*IF(SUMIF(Ввод!$G$20:$G$27,"COMPLEXITY",Ввод!$E$20:$E$27)=0,1,SUMIF(Ввод!$G$20:$G$27,"COMPLEXITY",Ввод!$E$20:$E$27))*(1+SUMIF(Ввод!$G$20:$G$27,"RISK_PCT",Ввод!$E$20:$E$27)))</f>
        <v/>
      </c>
      <c r="Q71" s="30" t="str">
        <f t="shared" si="9"/>
        <v/>
      </c>
      <c r="R71" s="30" t="str">
        <f t="shared" si="10"/>
        <v/>
      </c>
      <c r="S71" s="32" t="str">
        <f>IF(D71="","",P71/(Ввод!$B$11*IF(SUMIF(Ввод!$G$20:$G$27,"PARALLEL_FTE",Ввод!$E$20:$E$27)=0,1,SUMIF(Ввод!$G$20:$G$27,"PARALLEL_FTE",Ввод!$E$20:$E$27))))</f>
        <v/>
      </c>
      <c r="T71" s="29" t="str">
        <f t="shared" si="11"/>
        <v/>
      </c>
      <c r="U71" s="28"/>
      <c r="V71" s="28"/>
    </row>
    <row r="72" spans="1:22">
      <c r="A72" s="33"/>
      <c r="B72" s="28"/>
      <c r="C72" s="28"/>
      <c r="D72" s="28"/>
      <c r="E72" s="28"/>
      <c r="F72" s="34"/>
      <c r="G72" s="33" t="s">
        <v>82</v>
      </c>
      <c r="H72" s="33"/>
      <c r="I72" s="35"/>
      <c r="J72" s="35"/>
      <c r="K72" s="29" t="str">
        <f t="shared" si="8"/>
        <v/>
      </c>
      <c r="L72" s="30" t="str">
        <f>IF(D72="","",IF(I72&lt;&gt;"",I72,IFERROR(VLOOKUP(K72,'Справочник ролей'!$A$2:$E$20,4,FALSE),0)))</f>
        <v/>
      </c>
      <c r="M72" s="30" t="str">
        <f>IF(D72="","",IF(J72&lt;&gt;"",J72,IFERROR(VLOOKUP(K72,'Справочник ролей'!$A$2:$E$20,5,FALSE),0)))</f>
        <v/>
      </c>
      <c r="N72" s="29" t="str">
        <f>IF(D72="","",IF(G72&lt;&gt;"Авто",G72,IF(Ввод!$B$13&lt;&gt;"Авто",Ввод!$B$13,IFERROR(VLOOKUP(Ввод!$B$5,'Справочник типов'!$A$2:$I$27,9,FALSE),"Всего"))))</f>
        <v/>
      </c>
      <c r="O72" s="31" t="str">
        <f>IF(D72="","",IF(N72="В месяц",MAX(1,SUMIF(Ввод!$G$20:$G$27,"TERM_MONTHS",Ввод!$E$20:$E$27)),IF(N72="На единицу",IF(H72&lt;&gt;"",H72,MAX(1,SUMIF(Ввод!$G$20:$G$27,"QTY",Ввод!$E$20:$E$27))),IF(N72="Ед. × месяц",IF(H72&lt;&gt;"",H72,MAX(1,SUMIF(Ввод!$G$20:$G$27,"QTY",Ввод!$E$20:$E$27)))*MAX(1,SUMIF(Ввод!$G$20:$G$27,"TERM_MONTHS",Ввод!$E$20:$E$27)),1))))</f>
        <v/>
      </c>
      <c r="P72" s="31" t="str">
        <f>IF(D72="","",F72*O72*IF(SUMIF(Ввод!$G$20:$G$27,"COMPLEXITY",Ввод!$E$20:$E$27)=0,1,SUMIF(Ввод!$G$20:$G$27,"COMPLEXITY",Ввод!$E$20:$E$27))*(1+SUMIF(Ввод!$G$20:$G$27,"RISK_PCT",Ввод!$E$20:$E$27)))</f>
        <v/>
      </c>
      <c r="Q72" s="30" t="str">
        <f t="shared" si="9"/>
        <v/>
      </c>
      <c r="R72" s="30" t="str">
        <f t="shared" si="10"/>
        <v/>
      </c>
      <c r="S72" s="32" t="str">
        <f>IF(D72="","",P72/(Ввод!$B$11*IF(SUMIF(Ввод!$G$20:$G$27,"PARALLEL_FTE",Ввод!$E$20:$E$27)=0,1,SUMIF(Ввод!$G$20:$G$27,"PARALLEL_FTE",Ввод!$E$20:$E$27))))</f>
        <v/>
      </c>
      <c r="T72" s="29" t="str">
        <f t="shared" si="11"/>
        <v/>
      </c>
      <c r="U72" s="28"/>
      <c r="V72" s="28"/>
    </row>
    <row r="73" spans="1:22">
      <c r="A73" s="33"/>
      <c r="B73" s="28"/>
      <c r="C73" s="28"/>
      <c r="D73" s="28"/>
      <c r="E73" s="28"/>
      <c r="F73" s="34"/>
      <c r="G73" s="33" t="s">
        <v>82</v>
      </c>
      <c r="H73" s="33"/>
      <c r="I73" s="35"/>
      <c r="J73" s="35"/>
      <c r="K73" s="29" t="str">
        <f t="shared" si="8"/>
        <v/>
      </c>
      <c r="L73" s="30" t="str">
        <f>IF(D73="","",IF(I73&lt;&gt;"",I73,IFERROR(VLOOKUP(K73,'Справочник ролей'!$A$2:$E$20,4,FALSE),0)))</f>
        <v/>
      </c>
      <c r="M73" s="30" t="str">
        <f>IF(D73="","",IF(J73&lt;&gt;"",J73,IFERROR(VLOOKUP(K73,'Справочник ролей'!$A$2:$E$20,5,FALSE),0)))</f>
        <v/>
      </c>
      <c r="N73" s="29" t="str">
        <f>IF(D73="","",IF(G73&lt;&gt;"Авто",G73,IF(Ввод!$B$13&lt;&gt;"Авто",Ввод!$B$13,IFERROR(VLOOKUP(Ввод!$B$5,'Справочник типов'!$A$2:$I$27,9,FALSE),"Всего"))))</f>
        <v/>
      </c>
      <c r="O73" s="31" t="str">
        <f>IF(D73="","",IF(N73="В месяц",MAX(1,SUMIF(Ввод!$G$20:$G$27,"TERM_MONTHS",Ввод!$E$20:$E$27)),IF(N73="На единицу",IF(H73&lt;&gt;"",H73,MAX(1,SUMIF(Ввод!$G$20:$G$27,"QTY",Ввод!$E$20:$E$27))),IF(N73="Ед. × месяц",IF(H73&lt;&gt;"",H73,MAX(1,SUMIF(Ввод!$G$20:$G$27,"QTY",Ввод!$E$20:$E$27)))*MAX(1,SUMIF(Ввод!$G$20:$G$27,"TERM_MONTHS",Ввод!$E$20:$E$27)),1))))</f>
        <v/>
      </c>
      <c r="P73" s="31" t="str">
        <f>IF(D73="","",F73*O73*IF(SUMIF(Ввод!$G$20:$G$27,"COMPLEXITY",Ввод!$E$20:$E$27)=0,1,SUMIF(Ввод!$G$20:$G$27,"COMPLEXITY",Ввод!$E$20:$E$27))*(1+SUMIF(Ввод!$G$20:$G$27,"RISK_PCT",Ввод!$E$20:$E$27)))</f>
        <v/>
      </c>
      <c r="Q73" s="30" t="str">
        <f t="shared" si="9"/>
        <v/>
      </c>
      <c r="R73" s="30" t="str">
        <f t="shared" si="10"/>
        <v/>
      </c>
      <c r="S73" s="32" t="str">
        <f>IF(D73="","",P73/(Ввод!$B$11*IF(SUMIF(Ввод!$G$20:$G$27,"PARALLEL_FTE",Ввод!$E$20:$E$27)=0,1,SUMIF(Ввод!$G$20:$G$27,"PARALLEL_FTE",Ввод!$E$20:$E$27))))</f>
        <v/>
      </c>
      <c r="T73" s="29" t="str">
        <f t="shared" si="11"/>
        <v/>
      </c>
      <c r="U73" s="28"/>
      <c r="V73" s="28"/>
    </row>
    <row r="74" spans="1:22">
      <c r="A74" s="33"/>
      <c r="B74" s="28"/>
      <c r="C74" s="28"/>
      <c r="D74" s="28"/>
      <c r="E74" s="28"/>
      <c r="F74" s="34"/>
      <c r="G74" s="33" t="s">
        <v>82</v>
      </c>
      <c r="H74" s="33"/>
      <c r="I74" s="35"/>
      <c r="J74" s="35"/>
      <c r="K74" s="29" t="str">
        <f t="shared" si="8"/>
        <v/>
      </c>
      <c r="L74" s="30" t="str">
        <f>IF(D74="","",IF(I74&lt;&gt;"",I74,IFERROR(VLOOKUP(K74,'Справочник ролей'!$A$2:$E$20,4,FALSE),0)))</f>
        <v/>
      </c>
      <c r="M74" s="30" t="str">
        <f>IF(D74="","",IF(J74&lt;&gt;"",J74,IFERROR(VLOOKUP(K74,'Справочник ролей'!$A$2:$E$20,5,FALSE),0)))</f>
        <v/>
      </c>
      <c r="N74" s="29" t="str">
        <f>IF(D74="","",IF(G74&lt;&gt;"Авто",G74,IF(Ввод!$B$13&lt;&gt;"Авто",Ввод!$B$13,IFERROR(VLOOKUP(Ввод!$B$5,'Справочник типов'!$A$2:$I$27,9,FALSE),"Всего"))))</f>
        <v/>
      </c>
      <c r="O74" s="31" t="str">
        <f>IF(D74="","",IF(N74="В месяц",MAX(1,SUMIF(Ввод!$G$20:$G$27,"TERM_MONTHS",Ввод!$E$20:$E$27)),IF(N74="На единицу",IF(H74&lt;&gt;"",H74,MAX(1,SUMIF(Ввод!$G$20:$G$27,"QTY",Ввод!$E$20:$E$27))),IF(N74="Ед. × месяц",IF(H74&lt;&gt;"",H74,MAX(1,SUMIF(Ввод!$G$20:$G$27,"QTY",Ввод!$E$20:$E$27)))*MAX(1,SUMIF(Ввод!$G$20:$G$27,"TERM_MONTHS",Ввод!$E$20:$E$27)),1))))</f>
        <v/>
      </c>
      <c r="P74" s="31" t="str">
        <f>IF(D74="","",F74*O74*IF(SUMIF(Ввод!$G$20:$G$27,"COMPLEXITY",Ввод!$E$20:$E$27)=0,1,SUMIF(Ввод!$G$20:$G$27,"COMPLEXITY",Ввод!$E$20:$E$27))*(1+SUMIF(Ввод!$G$20:$G$27,"RISK_PCT",Ввод!$E$20:$E$27)))</f>
        <v/>
      </c>
      <c r="Q74" s="30" t="str">
        <f t="shared" si="9"/>
        <v/>
      </c>
      <c r="R74" s="30" t="str">
        <f t="shared" si="10"/>
        <v/>
      </c>
      <c r="S74" s="32" t="str">
        <f>IF(D74="","",P74/(Ввод!$B$11*IF(SUMIF(Ввод!$G$20:$G$27,"PARALLEL_FTE",Ввод!$E$20:$E$27)=0,1,SUMIF(Ввод!$G$20:$G$27,"PARALLEL_FTE",Ввод!$E$20:$E$27))))</f>
        <v/>
      </c>
      <c r="T74" s="29" t="str">
        <f t="shared" si="11"/>
        <v/>
      </c>
      <c r="U74" s="28"/>
      <c r="V74" s="28"/>
    </row>
    <row r="75" spans="1:22">
      <c r="A75" s="33"/>
      <c r="B75" s="28"/>
      <c r="C75" s="28"/>
      <c r="D75" s="28"/>
      <c r="E75" s="28"/>
      <c r="F75" s="34"/>
      <c r="G75" s="33" t="s">
        <v>82</v>
      </c>
      <c r="H75" s="33"/>
      <c r="I75" s="35"/>
      <c r="J75" s="35"/>
      <c r="K75" s="29" t="str">
        <f t="shared" si="8"/>
        <v/>
      </c>
      <c r="L75" s="30" t="str">
        <f>IF(D75="","",IF(I75&lt;&gt;"",I75,IFERROR(VLOOKUP(K75,'Справочник ролей'!$A$2:$E$20,4,FALSE),0)))</f>
        <v/>
      </c>
      <c r="M75" s="30" t="str">
        <f>IF(D75="","",IF(J75&lt;&gt;"",J75,IFERROR(VLOOKUP(K75,'Справочник ролей'!$A$2:$E$20,5,FALSE),0)))</f>
        <v/>
      </c>
      <c r="N75" s="29" t="str">
        <f>IF(D75="","",IF(G75&lt;&gt;"Авто",G75,IF(Ввод!$B$13&lt;&gt;"Авто",Ввод!$B$13,IFERROR(VLOOKUP(Ввод!$B$5,'Справочник типов'!$A$2:$I$27,9,FALSE),"Всего"))))</f>
        <v/>
      </c>
      <c r="O75" s="31" t="str">
        <f>IF(D75="","",IF(N75="В месяц",MAX(1,SUMIF(Ввод!$G$20:$G$27,"TERM_MONTHS",Ввод!$E$20:$E$27)),IF(N75="На единицу",IF(H75&lt;&gt;"",H75,MAX(1,SUMIF(Ввод!$G$20:$G$27,"QTY",Ввод!$E$20:$E$27))),IF(N75="Ед. × месяц",IF(H75&lt;&gt;"",H75,MAX(1,SUMIF(Ввод!$G$20:$G$27,"QTY",Ввод!$E$20:$E$27)))*MAX(1,SUMIF(Ввод!$G$20:$G$27,"TERM_MONTHS",Ввод!$E$20:$E$27)),1))))</f>
        <v/>
      </c>
      <c r="P75" s="31" t="str">
        <f>IF(D75="","",F75*O75*IF(SUMIF(Ввод!$G$20:$G$27,"COMPLEXITY",Ввод!$E$20:$E$27)=0,1,SUMIF(Ввод!$G$20:$G$27,"COMPLEXITY",Ввод!$E$20:$E$27))*(1+SUMIF(Ввод!$G$20:$G$27,"RISK_PCT",Ввод!$E$20:$E$27)))</f>
        <v/>
      </c>
      <c r="Q75" s="30" t="str">
        <f t="shared" si="9"/>
        <v/>
      </c>
      <c r="R75" s="30" t="str">
        <f t="shared" si="10"/>
        <v/>
      </c>
      <c r="S75" s="32" t="str">
        <f>IF(D75="","",P75/(Ввод!$B$11*IF(SUMIF(Ввод!$G$20:$G$27,"PARALLEL_FTE",Ввод!$E$20:$E$27)=0,1,SUMIF(Ввод!$G$20:$G$27,"PARALLEL_FTE",Ввод!$E$20:$E$27))))</f>
        <v/>
      </c>
      <c r="T75" s="29" t="str">
        <f t="shared" si="11"/>
        <v/>
      </c>
      <c r="U75" s="28"/>
      <c r="V75" s="28"/>
    </row>
    <row r="76" spans="1:22">
      <c r="A76" s="33"/>
      <c r="B76" s="28"/>
      <c r="C76" s="28"/>
      <c r="D76" s="28"/>
      <c r="E76" s="28"/>
      <c r="F76" s="34"/>
      <c r="G76" s="33" t="s">
        <v>82</v>
      </c>
      <c r="H76" s="33"/>
      <c r="I76" s="35"/>
      <c r="J76" s="35"/>
      <c r="K76" s="29" t="str">
        <f t="shared" si="8"/>
        <v/>
      </c>
      <c r="L76" s="30" t="str">
        <f>IF(D76="","",IF(I76&lt;&gt;"",I76,IFERROR(VLOOKUP(K76,'Справочник ролей'!$A$2:$E$20,4,FALSE),0)))</f>
        <v/>
      </c>
      <c r="M76" s="30" t="str">
        <f>IF(D76="","",IF(J76&lt;&gt;"",J76,IFERROR(VLOOKUP(K76,'Справочник ролей'!$A$2:$E$20,5,FALSE),0)))</f>
        <v/>
      </c>
      <c r="N76" s="29" t="str">
        <f>IF(D76="","",IF(G76&lt;&gt;"Авто",G76,IF(Ввод!$B$13&lt;&gt;"Авто",Ввод!$B$13,IFERROR(VLOOKUP(Ввод!$B$5,'Справочник типов'!$A$2:$I$27,9,FALSE),"Всего"))))</f>
        <v/>
      </c>
      <c r="O76" s="31" t="str">
        <f>IF(D76="","",IF(N76="В месяц",MAX(1,SUMIF(Ввод!$G$20:$G$27,"TERM_MONTHS",Ввод!$E$20:$E$27)),IF(N76="На единицу",IF(H76&lt;&gt;"",H76,MAX(1,SUMIF(Ввод!$G$20:$G$27,"QTY",Ввод!$E$20:$E$27))),IF(N76="Ед. × месяц",IF(H76&lt;&gt;"",H76,MAX(1,SUMIF(Ввод!$G$20:$G$27,"QTY",Ввод!$E$20:$E$27)))*MAX(1,SUMIF(Ввод!$G$20:$G$27,"TERM_MONTHS",Ввод!$E$20:$E$27)),1))))</f>
        <v/>
      </c>
      <c r="P76" s="31" t="str">
        <f>IF(D76="","",F76*O76*IF(SUMIF(Ввод!$G$20:$G$27,"COMPLEXITY",Ввод!$E$20:$E$27)=0,1,SUMIF(Ввод!$G$20:$G$27,"COMPLEXITY",Ввод!$E$20:$E$27))*(1+SUMIF(Ввод!$G$20:$G$27,"RISK_PCT",Ввод!$E$20:$E$27)))</f>
        <v/>
      </c>
      <c r="Q76" s="30" t="str">
        <f t="shared" si="9"/>
        <v/>
      </c>
      <c r="R76" s="30" t="str">
        <f t="shared" si="10"/>
        <v/>
      </c>
      <c r="S76" s="32" t="str">
        <f>IF(D76="","",P76/(Ввод!$B$11*IF(SUMIF(Ввод!$G$20:$G$27,"PARALLEL_FTE",Ввод!$E$20:$E$27)=0,1,SUMIF(Ввод!$G$20:$G$27,"PARALLEL_FTE",Ввод!$E$20:$E$27))))</f>
        <v/>
      </c>
      <c r="T76" s="29" t="str">
        <f t="shared" si="11"/>
        <v/>
      </c>
      <c r="U76" s="28"/>
      <c r="V76" s="28"/>
    </row>
    <row r="77" spans="1:22">
      <c r="A77" s="33"/>
      <c r="B77" s="28"/>
      <c r="C77" s="28"/>
      <c r="D77" s="28"/>
      <c r="E77" s="28"/>
      <c r="F77" s="34"/>
      <c r="G77" s="33" t="s">
        <v>82</v>
      </c>
      <c r="H77" s="33"/>
      <c r="I77" s="35"/>
      <c r="J77" s="35"/>
      <c r="K77" s="29" t="str">
        <f t="shared" si="8"/>
        <v/>
      </c>
      <c r="L77" s="30" t="str">
        <f>IF(D77="","",IF(I77&lt;&gt;"",I77,IFERROR(VLOOKUP(K77,'Справочник ролей'!$A$2:$E$20,4,FALSE),0)))</f>
        <v/>
      </c>
      <c r="M77" s="30" t="str">
        <f>IF(D77="","",IF(J77&lt;&gt;"",J77,IFERROR(VLOOKUP(K77,'Справочник ролей'!$A$2:$E$20,5,FALSE),0)))</f>
        <v/>
      </c>
      <c r="N77" s="29" t="str">
        <f>IF(D77="","",IF(G77&lt;&gt;"Авто",G77,IF(Ввод!$B$13&lt;&gt;"Авто",Ввод!$B$13,IFERROR(VLOOKUP(Ввод!$B$5,'Справочник типов'!$A$2:$I$27,9,FALSE),"Всего"))))</f>
        <v/>
      </c>
      <c r="O77" s="31" t="str">
        <f>IF(D77="","",IF(N77="В месяц",MAX(1,SUMIF(Ввод!$G$20:$G$27,"TERM_MONTHS",Ввод!$E$20:$E$27)),IF(N77="На единицу",IF(H77&lt;&gt;"",H77,MAX(1,SUMIF(Ввод!$G$20:$G$27,"QTY",Ввод!$E$20:$E$27))),IF(N77="Ед. × месяц",IF(H77&lt;&gt;"",H77,MAX(1,SUMIF(Ввод!$G$20:$G$27,"QTY",Ввод!$E$20:$E$27)))*MAX(1,SUMIF(Ввод!$G$20:$G$27,"TERM_MONTHS",Ввод!$E$20:$E$27)),1))))</f>
        <v/>
      </c>
      <c r="P77" s="31" t="str">
        <f>IF(D77="","",F77*O77*IF(SUMIF(Ввод!$G$20:$G$27,"COMPLEXITY",Ввод!$E$20:$E$27)=0,1,SUMIF(Ввод!$G$20:$G$27,"COMPLEXITY",Ввод!$E$20:$E$27))*(1+SUMIF(Ввод!$G$20:$G$27,"RISK_PCT",Ввод!$E$20:$E$27)))</f>
        <v/>
      </c>
      <c r="Q77" s="30" t="str">
        <f t="shared" si="9"/>
        <v/>
      </c>
      <c r="R77" s="30" t="str">
        <f t="shared" si="10"/>
        <v/>
      </c>
      <c r="S77" s="32" t="str">
        <f>IF(D77="","",P77/(Ввод!$B$11*IF(SUMIF(Ввод!$G$20:$G$27,"PARALLEL_FTE",Ввод!$E$20:$E$27)=0,1,SUMIF(Ввод!$G$20:$G$27,"PARALLEL_FTE",Ввод!$E$20:$E$27))))</f>
        <v/>
      </c>
      <c r="T77" s="29" t="str">
        <f t="shared" si="11"/>
        <v/>
      </c>
      <c r="U77" s="28"/>
      <c r="V77" s="28"/>
    </row>
    <row r="78" spans="1:22">
      <c r="A78" s="33"/>
      <c r="B78" s="28"/>
      <c r="C78" s="28"/>
      <c r="D78" s="28"/>
      <c r="E78" s="28"/>
      <c r="F78" s="34"/>
      <c r="G78" s="33" t="s">
        <v>82</v>
      </c>
      <c r="H78" s="33"/>
      <c r="I78" s="35"/>
      <c r="J78" s="35"/>
      <c r="K78" s="29" t="str">
        <f t="shared" si="8"/>
        <v/>
      </c>
      <c r="L78" s="30" t="str">
        <f>IF(D78="","",IF(I78&lt;&gt;"",I78,IFERROR(VLOOKUP(K78,'Справочник ролей'!$A$2:$E$20,4,FALSE),0)))</f>
        <v/>
      </c>
      <c r="M78" s="30" t="str">
        <f>IF(D78="","",IF(J78&lt;&gt;"",J78,IFERROR(VLOOKUP(K78,'Справочник ролей'!$A$2:$E$20,5,FALSE),0)))</f>
        <v/>
      </c>
      <c r="N78" s="29" t="str">
        <f>IF(D78="","",IF(G78&lt;&gt;"Авто",G78,IF(Ввод!$B$13&lt;&gt;"Авто",Ввод!$B$13,IFERROR(VLOOKUP(Ввод!$B$5,'Справочник типов'!$A$2:$I$27,9,FALSE),"Всего"))))</f>
        <v/>
      </c>
      <c r="O78" s="31" t="str">
        <f>IF(D78="","",IF(N78="В месяц",MAX(1,SUMIF(Ввод!$G$20:$G$27,"TERM_MONTHS",Ввод!$E$20:$E$27)),IF(N78="На единицу",IF(H78&lt;&gt;"",H78,MAX(1,SUMIF(Ввод!$G$20:$G$27,"QTY",Ввод!$E$20:$E$27))),IF(N78="Ед. × месяц",IF(H78&lt;&gt;"",H78,MAX(1,SUMIF(Ввод!$G$20:$G$27,"QTY",Ввод!$E$20:$E$27)))*MAX(1,SUMIF(Ввод!$G$20:$G$27,"TERM_MONTHS",Ввод!$E$20:$E$27)),1))))</f>
        <v/>
      </c>
      <c r="P78" s="31" t="str">
        <f>IF(D78="","",F78*O78*IF(SUMIF(Ввод!$G$20:$G$27,"COMPLEXITY",Ввод!$E$20:$E$27)=0,1,SUMIF(Ввод!$G$20:$G$27,"COMPLEXITY",Ввод!$E$20:$E$27))*(1+SUMIF(Ввод!$G$20:$G$27,"RISK_PCT",Ввод!$E$20:$E$27)))</f>
        <v/>
      </c>
      <c r="Q78" s="30" t="str">
        <f t="shared" si="9"/>
        <v/>
      </c>
      <c r="R78" s="30" t="str">
        <f t="shared" si="10"/>
        <v/>
      </c>
      <c r="S78" s="32" t="str">
        <f>IF(D78="","",P78/(Ввод!$B$11*IF(SUMIF(Ввод!$G$20:$G$27,"PARALLEL_FTE",Ввод!$E$20:$E$27)=0,1,SUMIF(Ввод!$G$20:$G$27,"PARALLEL_FTE",Ввод!$E$20:$E$27))))</f>
        <v/>
      </c>
      <c r="T78" s="29" t="str">
        <f t="shared" si="11"/>
        <v/>
      </c>
      <c r="U78" s="28"/>
      <c r="V78" s="28"/>
    </row>
    <row r="79" spans="1:22">
      <c r="A79" s="33"/>
      <c r="B79" s="28"/>
      <c r="C79" s="28"/>
      <c r="D79" s="28"/>
      <c r="E79" s="28"/>
      <c r="F79" s="34"/>
      <c r="G79" s="33" t="s">
        <v>82</v>
      </c>
      <c r="H79" s="33"/>
      <c r="I79" s="35"/>
      <c r="J79" s="35"/>
      <c r="K79" s="29" t="str">
        <f t="shared" si="8"/>
        <v/>
      </c>
      <c r="L79" s="30" t="str">
        <f>IF(D79="","",IF(I79&lt;&gt;"",I79,IFERROR(VLOOKUP(K79,'Справочник ролей'!$A$2:$E$20,4,FALSE),0)))</f>
        <v/>
      </c>
      <c r="M79" s="30" t="str">
        <f>IF(D79="","",IF(J79&lt;&gt;"",J79,IFERROR(VLOOKUP(K79,'Справочник ролей'!$A$2:$E$20,5,FALSE),0)))</f>
        <v/>
      </c>
      <c r="N79" s="29" t="str">
        <f>IF(D79="","",IF(G79&lt;&gt;"Авто",G79,IF(Ввод!$B$13&lt;&gt;"Авто",Ввод!$B$13,IFERROR(VLOOKUP(Ввод!$B$5,'Справочник типов'!$A$2:$I$27,9,FALSE),"Всего"))))</f>
        <v/>
      </c>
      <c r="O79" s="31" t="str">
        <f>IF(D79="","",IF(N79="В месяц",MAX(1,SUMIF(Ввод!$G$20:$G$27,"TERM_MONTHS",Ввод!$E$20:$E$27)),IF(N79="На единицу",IF(H79&lt;&gt;"",H79,MAX(1,SUMIF(Ввод!$G$20:$G$27,"QTY",Ввод!$E$20:$E$27))),IF(N79="Ед. × месяц",IF(H79&lt;&gt;"",H79,MAX(1,SUMIF(Ввод!$G$20:$G$27,"QTY",Ввод!$E$20:$E$27)))*MAX(1,SUMIF(Ввод!$G$20:$G$27,"TERM_MONTHS",Ввод!$E$20:$E$27)),1))))</f>
        <v/>
      </c>
      <c r="P79" s="31" t="str">
        <f>IF(D79="","",F79*O79*IF(SUMIF(Ввод!$G$20:$G$27,"COMPLEXITY",Ввод!$E$20:$E$27)=0,1,SUMIF(Ввод!$G$20:$G$27,"COMPLEXITY",Ввод!$E$20:$E$27))*(1+SUMIF(Ввод!$G$20:$G$27,"RISK_PCT",Ввод!$E$20:$E$27)))</f>
        <v/>
      </c>
      <c r="Q79" s="30" t="str">
        <f t="shared" si="9"/>
        <v/>
      </c>
      <c r="R79" s="30" t="str">
        <f t="shared" si="10"/>
        <v/>
      </c>
      <c r="S79" s="32" t="str">
        <f>IF(D79="","",P79/(Ввод!$B$11*IF(SUMIF(Ввод!$G$20:$G$27,"PARALLEL_FTE",Ввод!$E$20:$E$27)=0,1,SUMIF(Ввод!$G$20:$G$27,"PARALLEL_FTE",Ввод!$E$20:$E$27))))</f>
        <v/>
      </c>
      <c r="T79" s="29" t="str">
        <f t="shared" si="11"/>
        <v/>
      </c>
      <c r="U79" s="28"/>
      <c r="V79" s="28"/>
    </row>
    <row r="80" spans="1:22">
      <c r="A80" s="33"/>
      <c r="B80" s="28"/>
      <c r="C80" s="28"/>
      <c r="D80" s="28"/>
      <c r="E80" s="28"/>
      <c r="F80" s="34"/>
      <c r="G80" s="33" t="s">
        <v>82</v>
      </c>
      <c r="H80" s="33"/>
      <c r="I80" s="35"/>
      <c r="J80" s="35"/>
      <c r="K80" s="29" t="str">
        <f t="shared" si="8"/>
        <v/>
      </c>
      <c r="L80" s="30" t="str">
        <f>IF(D80="","",IF(I80&lt;&gt;"",I80,IFERROR(VLOOKUP(K80,'Справочник ролей'!$A$2:$E$20,4,FALSE),0)))</f>
        <v/>
      </c>
      <c r="M80" s="30" t="str">
        <f>IF(D80="","",IF(J80&lt;&gt;"",J80,IFERROR(VLOOKUP(K80,'Справочник ролей'!$A$2:$E$20,5,FALSE),0)))</f>
        <v/>
      </c>
      <c r="N80" s="29" t="str">
        <f>IF(D80="","",IF(G80&lt;&gt;"Авто",G80,IF(Ввод!$B$13&lt;&gt;"Авто",Ввод!$B$13,IFERROR(VLOOKUP(Ввод!$B$5,'Справочник типов'!$A$2:$I$27,9,FALSE),"Всего"))))</f>
        <v/>
      </c>
      <c r="O80" s="31" t="str">
        <f>IF(D80="","",IF(N80="В месяц",MAX(1,SUMIF(Ввод!$G$20:$G$27,"TERM_MONTHS",Ввод!$E$20:$E$27)),IF(N80="На единицу",IF(H80&lt;&gt;"",H80,MAX(1,SUMIF(Ввод!$G$20:$G$27,"QTY",Ввод!$E$20:$E$27))),IF(N80="Ед. × месяц",IF(H80&lt;&gt;"",H80,MAX(1,SUMIF(Ввод!$G$20:$G$27,"QTY",Ввод!$E$20:$E$27)))*MAX(1,SUMIF(Ввод!$G$20:$G$27,"TERM_MONTHS",Ввод!$E$20:$E$27)),1))))</f>
        <v/>
      </c>
      <c r="P80" s="31" t="str">
        <f>IF(D80="","",F80*O80*IF(SUMIF(Ввод!$G$20:$G$27,"COMPLEXITY",Ввод!$E$20:$E$27)=0,1,SUMIF(Ввод!$G$20:$G$27,"COMPLEXITY",Ввод!$E$20:$E$27))*(1+SUMIF(Ввод!$G$20:$G$27,"RISK_PCT",Ввод!$E$20:$E$27)))</f>
        <v/>
      </c>
      <c r="Q80" s="30" t="str">
        <f t="shared" si="9"/>
        <v/>
      </c>
      <c r="R80" s="30" t="str">
        <f t="shared" si="10"/>
        <v/>
      </c>
      <c r="S80" s="32" t="str">
        <f>IF(D80="","",P80/(Ввод!$B$11*IF(SUMIF(Ввод!$G$20:$G$27,"PARALLEL_FTE",Ввод!$E$20:$E$27)=0,1,SUMIF(Ввод!$G$20:$G$27,"PARALLEL_FTE",Ввод!$E$20:$E$27))))</f>
        <v/>
      </c>
      <c r="T80" s="29" t="str">
        <f t="shared" si="11"/>
        <v/>
      </c>
      <c r="U80" s="28"/>
      <c r="V80" s="28"/>
    </row>
    <row r="81" spans="1:22">
      <c r="A81" s="33"/>
      <c r="B81" s="28"/>
      <c r="C81" s="28"/>
      <c r="D81" s="28"/>
      <c r="E81" s="28"/>
      <c r="F81" s="34"/>
      <c r="G81" s="33" t="s">
        <v>82</v>
      </c>
      <c r="H81" s="33"/>
      <c r="I81" s="35"/>
      <c r="J81" s="35"/>
      <c r="K81" s="29" t="str">
        <f t="shared" si="8"/>
        <v/>
      </c>
      <c r="L81" s="30" t="str">
        <f>IF(D81="","",IF(I81&lt;&gt;"",I81,IFERROR(VLOOKUP(K81,'Справочник ролей'!$A$2:$E$20,4,FALSE),0)))</f>
        <v/>
      </c>
      <c r="M81" s="30" t="str">
        <f>IF(D81="","",IF(J81&lt;&gt;"",J81,IFERROR(VLOOKUP(K81,'Справочник ролей'!$A$2:$E$20,5,FALSE),0)))</f>
        <v/>
      </c>
      <c r="N81" s="29" t="str">
        <f>IF(D81="","",IF(G81&lt;&gt;"Авто",G81,IF(Ввод!$B$13&lt;&gt;"Авто",Ввод!$B$13,IFERROR(VLOOKUP(Ввод!$B$5,'Справочник типов'!$A$2:$I$27,9,FALSE),"Всего"))))</f>
        <v/>
      </c>
      <c r="O81" s="31" t="str">
        <f>IF(D81="","",IF(N81="В месяц",MAX(1,SUMIF(Ввод!$G$20:$G$27,"TERM_MONTHS",Ввод!$E$20:$E$27)),IF(N81="На единицу",IF(H81&lt;&gt;"",H81,MAX(1,SUMIF(Ввод!$G$20:$G$27,"QTY",Ввод!$E$20:$E$27))),IF(N81="Ед. × месяц",IF(H81&lt;&gt;"",H81,MAX(1,SUMIF(Ввод!$G$20:$G$27,"QTY",Ввод!$E$20:$E$27)))*MAX(1,SUMIF(Ввод!$G$20:$G$27,"TERM_MONTHS",Ввод!$E$20:$E$27)),1))))</f>
        <v/>
      </c>
      <c r="P81" s="31" t="str">
        <f>IF(D81="","",F81*O81*IF(SUMIF(Ввод!$G$20:$G$27,"COMPLEXITY",Ввод!$E$20:$E$27)=0,1,SUMIF(Ввод!$G$20:$G$27,"COMPLEXITY",Ввод!$E$20:$E$27))*(1+SUMIF(Ввод!$G$20:$G$27,"RISK_PCT",Ввод!$E$20:$E$27)))</f>
        <v/>
      </c>
      <c r="Q81" s="30" t="str">
        <f t="shared" si="9"/>
        <v/>
      </c>
      <c r="R81" s="30" t="str">
        <f t="shared" si="10"/>
        <v/>
      </c>
      <c r="S81" s="32" t="str">
        <f>IF(D81="","",P81/(Ввод!$B$11*IF(SUMIF(Ввод!$G$20:$G$27,"PARALLEL_FTE",Ввод!$E$20:$E$27)=0,1,SUMIF(Ввод!$G$20:$G$27,"PARALLEL_FTE",Ввод!$E$20:$E$27))))</f>
        <v/>
      </c>
      <c r="T81" s="29" t="str">
        <f t="shared" si="11"/>
        <v/>
      </c>
      <c r="U81" s="28"/>
      <c r="V81" s="28"/>
    </row>
    <row r="82" spans="1:22">
      <c r="A82" s="33"/>
      <c r="B82" s="28"/>
      <c r="C82" s="28"/>
      <c r="D82" s="28"/>
      <c r="E82" s="28"/>
      <c r="F82" s="34"/>
      <c r="G82" s="33" t="s">
        <v>82</v>
      </c>
      <c r="H82" s="33"/>
      <c r="I82" s="35"/>
      <c r="J82" s="35"/>
      <c r="K82" s="29" t="str">
        <f t="shared" si="8"/>
        <v/>
      </c>
      <c r="L82" s="30" t="str">
        <f>IF(D82="","",IF(I82&lt;&gt;"",I82,IFERROR(VLOOKUP(K82,'Справочник ролей'!$A$2:$E$20,4,FALSE),0)))</f>
        <v/>
      </c>
      <c r="M82" s="30" t="str">
        <f>IF(D82="","",IF(J82&lt;&gt;"",J82,IFERROR(VLOOKUP(K82,'Справочник ролей'!$A$2:$E$20,5,FALSE),0)))</f>
        <v/>
      </c>
      <c r="N82" s="29" t="str">
        <f>IF(D82="","",IF(G82&lt;&gt;"Авто",G82,IF(Ввод!$B$13&lt;&gt;"Авто",Ввод!$B$13,IFERROR(VLOOKUP(Ввод!$B$5,'Справочник типов'!$A$2:$I$27,9,FALSE),"Всего"))))</f>
        <v/>
      </c>
      <c r="O82" s="31" t="str">
        <f>IF(D82="","",IF(N82="В месяц",MAX(1,SUMIF(Ввод!$G$20:$G$27,"TERM_MONTHS",Ввод!$E$20:$E$27)),IF(N82="На единицу",IF(H82&lt;&gt;"",H82,MAX(1,SUMIF(Ввод!$G$20:$G$27,"QTY",Ввод!$E$20:$E$27))),IF(N82="Ед. × месяц",IF(H82&lt;&gt;"",H82,MAX(1,SUMIF(Ввод!$G$20:$G$27,"QTY",Ввод!$E$20:$E$27)))*MAX(1,SUMIF(Ввод!$G$20:$G$27,"TERM_MONTHS",Ввод!$E$20:$E$27)),1))))</f>
        <v/>
      </c>
      <c r="P82" s="31" t="str">
        <f>IF(D82="","",F82*O82*IF(SUMIF(Ввод!$G$20:$G$27,"COMPLEXITY",Ввод!$E$20:$E$27)=0,1,SUMIF(Ввод!$G$20:$G$27,"COMPLEXITY",Ввод!$E$20:$E$27))*(1+SUMIF(Ввод!$G$20:$G$27,"RISK_PCT",Ввод!$E$20:$E$27)))</f>
        <v/>
      </c>
      <c r="Q82" s="30" t="str">
        <f t="shared" si="9"/>
        <v/>
      </c>
      <c r="R82" s="30" t="str">
        <f t="shared" si="10"/>
        <v/>
      </c>
      <c r="S82" s="32" t="str">
        <f>IF(D82="","",P82/(Ввод!$B$11*IF(SUMIF(Ввод!$G$20:$G$27,"PARALLEL_FTE",Ввод!$E$20:$E$27)=0,1,SUMIF(Ввод!$G$20:$G$27,"PARALLEL_FTE",Ввод!$E$20:$E$27))))</f>
        <v/>
      </c>
      <c r="T82" s="29" t="str">
        <f t="shared" si="11"/>
        <v/>
      </c>
      <c r="U82" s="28"/>
      <c r="V82" s="28"/>
    </row>
    <row r="83" spans="1:22">
      <c r="A83" s="33"/>
      <c r="B83" s="28"/>
      <c r="C83" s="28"/>
      <c r="D83" s="28"/>
      <c r="E83" s="28"/>
      <c r="F83" s="34"/>
      <c r="G83" s="33" t="s">
        <v>82</v>
      </c>
      <c r="H83" s="33"/>
      <c r="I83" s="35"/>
      <c r="J83" s="35"/>
      <c r="K83" s="29" t="str">
        <f t="shared" si="8"/>
        <v/>
      </c>
      <c r="L83" s="30" t="str">
        <f>IF(D83="","",IF(I83&lt;&gt;"",I83,IFERROR(VLOOKUP(K83,'Справочник ролей'!$A$2:$E$20,4,FALSE),0)))</f>
        <v/>
      </c>
      <c r="M83" s="30" t="str">
        <f>IF(D83="","",IF(J83&lt;&gt;"",J83,IFERROR(VLOOKUP(K83,'Справочник ролей'!$A$2:$E$20,5,FALSE),0)))</f>
        <v/>
      </c>
      <c r="N83" s="29" t="str">
        <f>IF(D83="","",IF(G83&lt;&gt;"Авто",G83,IF(Ввод!$B$13&lt;&gt;"Авто",Ввод!$B$13,IFERROR(VLOOKUP(Ввод!$B$5,'Справочник типов'!$A$2:$I$27,9,FALSE),"Всего"))))</f>
        <v/>
      </c>
      <c r="O83" s="31" t="str">
        <f>IF(D83="","",IF(N83="В месяц",MAX(1,SUMIF(Ввод!$G$20:$G$27,"TERM_MONTHS",Ввод!$E$20:$E$27)),IF(N83="На единицу",IF(H83&lt;&gt;"",H83,MAX(1,SUMIF(Ввод!$G$20:$G$27,"QTY",Ввод!$E$20:$E$27))),IF(N83="Ед. × месяц",IF(H83&lt;&gt;"",H83,MAX(1,SUMIF(Ввод!$G$20:$G$27,"QTY",Ввод!$E$20:$E$27)))*MAX(1,SUMIF(Ввод!$G$20:$G$27,"TERM_MONTHS",Ввод!$E$20:$E$27)),1))))</f>
        <v/>
      </c>
      <c r="P83" s="31" t="str">
        <f>IF(D83="","",F83*O83*IF(SUMIF(Ввод!$G$20:$G$27,"COMPLEXITY",Ввод!$E$20:$E$27)=0,1,SUMIF(Ввод!$G$20:$G$27,"COMPLEXITY",Ввод!$E$20:$E$27))*(1+SUMIF(Ввод!$G$20:$G$27,"RISK_PCT",Ввод!$E$20:$E$27)))</f>
        <v/>
      </c>
      <c r="Q83" s="30" t="str">
        <f t="shared" si="9"/>
        <v/>
      </c>
      <c r="R83" s="30" t="str">
        <f t="shared" si="10"/>
        <v/>
      </c>
      <c r="S83" s="32" t="str">
        <f>IF(D83="","",P83/(Ввод!$B$11*IF(SUMIF(Ввод!$G$20:$G$27,"PARALLEL_FTE",Ввод!$E$20:$E$27)=0,1,SUMIF(Ввод!$G$20:$G$27,"PARALLEL_FTE",Ввод!$E$20:$E$27))))</f>
        <v/>
      </c>
      <c r="T83" s="29" t="str">
        <f t="shared" si="11"/>
        <v/>
      </c>
      <c r="U83" s="28"/>
      <c r="V83" s="28"/>
    </row>
    <row r="84" spans="1:22">
      <c r="A84" s="33"/>
      <c r="B84" s="28"/>
      <c r="C84" s="28"/>
      <c r="D84" s="28"/>
      <c r="E84" s="28"/>
      <c r="F84" s="34"/>
      <c r="G84" s="33" t="s">
        <v>82</v>
      </c>
      <c r="H84" s="33"/>
      <c r="I84" s="35"/>
      <c r="J84" s="35"/>
      <c r="K84" s="29" t="str">
        <f t="shared" si="8"/>
        <v/>
      </c>
      <c r="L84" s="30" t="str">
        <f>IF(D84="","",IF(I84&lt;&gt;"",I84,IFERROR(VLOOKUP(K84,'Справочник ролей'!$A$2:$E$20,4,FALSE),0)))</f>
        <v/>
      </c>
      <c r="M84" s="30" t="str">
        <f>IF(D84="","",IF(J84&lt;&gt;"",J84,IFERROR(VLOOKUP(K84,'Справочник ролей'!$A$2:$E$20,5,FALSE),0)))</f>
        <v/>
      </c>
      <c r="N84" s="29" t="str">
        <f>IF(D84="","",IF(G84&lt;&gt;"Авто",G84,IF(Ввод!$B$13&lt;&gt;"Авто",Ввод!$B$13,IFERROR(VLOOKUP(Ввод!$B$5,'Справочник типов'!$A$2:$I$27,9,FALSE),"Всего"))))</f>
        <v/>
      </c>
      <c r="O84" s="31" t="str">
        <f>IF(D84="","",IF(N84="В месяц",MAX(1,SUMIF(Ввод!$G$20:$G$27,"TERM_MONTHS",Ввод!$E$20:$E$27)),IF(N84="На единицу",IF(H84&lt;&gt;"",H84,MAX(1,SUMIF(Ввод!$G$20:$G$27,"QTY",Ввод!$E$20:$E$27))),IF(N84="Ед. × месяц",IF(H84&lt;&gt;"",H84,MAX(1,SUMIF(Ввод!$G$20:$G$27,"QTY",Ввод!$E$20:$E$27)))*MAX(1,SUMIF(Ввод!$G$20:$G$27,"TERM_MONTHS",Ввод!$E$20:$E$27)),1))))</f>
        <v/>
      </c>
      <c r="P84" s="31" t="str">
        <f>IF(D84="","",F84*O84*IF(SUMIF(Ввод!$G$20:$G$27,"COMPLEXITY",Ввод!$E$20:$E$27)=0,1,SUMIF(Ввод!$G$20:$G$27,"COMPLEXITY",Ввод!$E$20:$E$27))*(1+SUMIF(Ввод!$G$20:$G$27,"RISK_PCT",Ввод!$E$20:$E$27)))</f>
        <v/>
      </c>
      <c r="Q84" s="30" t="str">
        <f t="shared" si="9"/>
        <v/>
      </c>
      <c r="R84" s="30" t="str">
        <f t="shared" si="10"/>
        <v/>
      </c>
      <c r="S84" s="32" t="str">
        <f>IF(D84="","",P84/(Ввод!$B$11*IF(SUMIF(Ввод!$G$20:$G$27,"PARALLEL_FTE",Ввод!$E$20:$E$27)=0,1,SUMIF(Ввод!$G$20:$G$27,"PARALLEL_FTE",Ввод!$E$20:$E$27))))</f>
        <v/>
      </c>
      <c r="T84" s="29" t="str">
        <f t="shared" si="11"/>
        <v/>
      </c>
      <c r="U84" s="28"/>
      <c r="V84" s="28"/>
    </row>
    <row r="85" spans="1:22">
      <c r="A85" s="33"/>
      <c r="B85" s="28"/>
      <c r="C85" s="28"/>
      <c r="D85" s="28"/>
      <c r="E85" s="28"/>
      <c r="F85" s="34"/>
      <c r="G85" s="33" t="s">
        <v>82</v>
      </c>
      <c r="H85" s="33"/>
      <c r="I85" s="35"/>
      <c r="J85" s="35"/>
      <c r="K85" s="29" t="str">
        <f t="shared" si="8"/>
        <v/>
      </c>
      <c r="L85" s="30" t="str">
        <f>IF(D85="","",IF(I85&lt;&gt;"",I85,IFERROR(VLOOKUP(K85,'Справочник ролей'!$A$2:$E$20,4,FALSE),0)))</f>
        <v/>
      </c>
      <c r="M85" s="30" t="str">
        <f>IF(D85="","",IF(J85&lt;&gt;"",J85,IFERROR(VLOOKUP(K85,'Справочник ролей'!$A$2:$E$20,5,FALSE),0)))</f>
        <v/>
      </c>
      <c r="N85" s="29" t="str">
        <f>IF(D85="","",IF(G85&lt;&gt;"Авто",G85,IF(Ввод!$B$13&lt;&gt;"Авто",Ввод!$B$13,IFERROR(VLOOKUP(Ввод!$B$5,'Справочник типов'!$A$2:$I$27,9,FALSE),"Всего"))))</f>
        <v/>
      </c>
      <c r="O85" s="31" t="str">
        <f>IF(D85="","",IF(N85="В месяц",MAX(1,SUMIF(Ввод!$G$20:$G$27,"TERM_MONTHS",Ввод!$E$20:$E$27)),IF(N85="На единицу",IF(H85&lt;&gt;"",H85,MAX(1,SUMIF(Ввод!$G$20:$G$27,"QTY",Ввод!$E$20:$E$27))),IF(N85="Ед. × месяц",IF(H85&lt;&gt;"",H85,MAX(1,SUMIF(Ввод!$G$20:$G$27,"QTY",Ввод!$E$20:$E$27)))*MAX(1,SUMIF(Ввод!$G$20:$G$27,"TERM_MONTHS",Ввод!$E$20:$E$27)),1))))</f>
        <v/>
      </c>
      <c r="P85" s="31" t="str">
        <f>IF(D85="","",F85*O85*IF(SUMIF(Ввод!$G$20:$G$27,"COMPLEXITY",Ввод!$E$20:$E$27)=0,1,SUMIF(Ввод!$G$20:$G$27,"COMPLEXITY",Ввод!$E$20:$E$27))*(1+SUMIF(Ввод!$G$20:$G$27,"RISK_PCT",Ввод!$E$20:$E$27)))</f>
        <v/>
      </c>
      <c r="Q85" s="30" t="str">
        <f t="shared" si="9"/>
        <v/>
      </c>
      <c r="R85" s="30" t="str">
        <f t="shared" si="10"/>
        <v/>
      </c>
      <c r="S85" s="32" t="str">
        <f>IF(D85="","",P85/(Ввод!$B$11*IF(SUMIF(Ввод!$G$20:$G$27,"PARALLEL_FTE",Ввод!$E$20:$E$27)=0,1,SUMIF(Ввод!$G$20:$G$27,"PARALLEL_FTE",Ввод!$E$20:$E$27))))</f>
        <v/>
      </c>
      <c r="T85" s="29" t="str">
        <f t="shared" si="11"/>
        <v/>
      </c>
      <c r="U85" s="28"/>
      <c r="V85" s="28"/>
    </row>
    <row r="86" spans="1:22">
      <c r="A86" s="33"/>
      <c r="B86" s="28"/>
      <c r="C86" s="28"/>
      <c r="D86" s="28"/>
      <c r="E86" s="28"/>
      <c r="F86" s="34"/>
      <c r="G86" s="33" t="s">
        <v>82</v>
      </c>
      <c r="H86" s="33"/>
      <c r="I86" s="35"/>
      <c r="J86" s="35"/>
      <c r="K86" s="29" t="str">
        <f t="shared" si="8"/>
        <v/>
      </c>
      <c r="L86" s="30" t="str">
        <f>IF(D86="","",IF(I86&lt;&gt;"",I86,IFERROR(VLOOKUP(K86,'Справочник ролей'!$A$2:$E$20,4,FALSE),0)))</f>
        <v/>
      </c>
      <c r="M86" s="30" t="str">
        <f>IF(D86="","",IF(J86&lt;&gt;"",J86,IFERROR(VLOOKUP(K86,'Справочник ролей'!$A$2:$E$20,5,FALSE),0)))</f>
        <v/>
      </c>
      <c r="N86" s="29" t="str">
        <f>IF(D86="","",IF(G86&lt;&gt;"Авто",G86,IF(Ввод!$B$13&lt;&gt;"Авто",Ввод!$B$13,IFERROR(VLOOKUP(Ввод!$B$5,'Справочник типов'!$A$2:$I$27,9,FALSE),"Всего"))))</f>
        <v/>
      </c>
      <c r="O86" s="31" t="str">
        <f>IF(D86="","",IF(N86="В месяц",MAX(1,SUMIF(Ввод!$G$20:$G$27,"TERM_MONTHS",Ввод!$E$20:$E$27)),IF(N86="На единицу",IF(H86&lt;&gt;"",H86,MAX(1,SUMIF(Ввод!$G$20:$G$27,"QTY",Ввод!$E$20:$E$27))),IF(N86="Ед. × месяц",IF(H86&lt;&gt;"",H86,MAX(1,SUMIF(Ввод!$G$20:$G$27,"QTY",Ввод!$E$20:$E$27)))*MAX(1,SUMIF(Ввод!$G$20:$G$27,"TERM_MONTHS",Ввод!$E$20:$E$27)),1))))</f>
        <v/>
      </c>
      <c r="P86" s="31" t="str">
        <f>IF(D86="","",F86*O86*IF(SUMIF(Ввод!$G$20:$G$27,"COMPLEXITY",Ввод!$E$20:$E$27)=0,1,SUMIF(Ввод!$G$20:$G$27,"COMPLEXITY",Ввод!$E$20:$E$27))*(1+SUMIF(Ввод!$G$20:$G$27,"RISK_PCT",Ввод!$E$20:$E$27)))</f>
        <v/>
      </c>
      <c r="Q86" s="30" t="str">
        <f t="shared" si="9"/>
        <v/>
      </c>
      <c r="R86" s="30" t="str">
        <f t="shared" si="10"/>
        <v/>
      </c>
      <c r="S86" s="32" t="str">
        <f>IF(D86="","",P86/(Ввод!$B$11*IF(SUMIF(Ввод!$G$20:$G$27,"PARALLEL_FTE",Ввод!$E$20:$E$27)=0,1,SUMIF(Ввод!$G$20:$G$27,"PARALLEL_FTE",Ввод!$E$20:$E$27))))</f>
        <v/>
      </c>
      <c r="T86" s="29" t="str">
        <f t="shared" si="11"/>
        <v/>
      </c>
      <c r="U86" s="28"/>
      <c r="V86" s="28"/>
    </row>
    <row r="87" spans="1:22">
      <c r="A87" s="33"/>
      <c r="B87" s="28"/>
      <c r="C87" s="28"/>
      <c r="D87" s="28"/>
      <c r="E87" s="28"/>
      <c r="F87" s="34"/>
      <c r="G87" s="33" t="s">
        <v>82</v>
      </c>
      <c r="H87" s="33"/>
      <c r="I87" s="35"/>
      <c r="J87" s="35"/>
      <c r="K87" s="29" t="str">
        <f t="shared" si="8"/>
        <v/>
      </c>
      <c r="L87" s="30" t="str">
        <f>IF(D87="","",IF(I87&lt;&gt;"",I87,IFERROR(VLOOKUP(K87,'Справочник ролей'!$A$2:$E$20,4,FALSE),0)))</f>
        <v/>
      </c>
      <c r="M87" s="30" t="str">
        <f>IF(D87="","",IF(J87&lt;&gt;"",J87,IFERROR(VLOOKUP(K87,'Справочник ролей'!$A$2:$E$20,5,FALSE),0)))</f>
        <v/>
      </c>
      <c r="N87" s="29" t="str">
        <f>IF(D87="","",IF(G87&lt;&gt;"Авто",G87,IF(Ввод!$B$13&lt;&gt;"Авто",Ввод!$B$13,IFERROR(VLOOKUP(Ввод!$B$5,'Справочник типов'!$A$2:$I$27,9,FALSE),"Всего"))))</f>
        <v/>
      </c>
      <c r="O87" s="31" t="str">
        <f>IF(D87="","",IF(N87="В месяц",MAX(1,SUMIF(Ввод!$G$20:$G$27,"TERM_MONTHS",Ввод!$E$20:$E$27)),IF(N87="На единицу",IF(H87&lt;&gt;"",H87,MAX(1,SUMIF(Ввод!$G$20:$G$27,"QTY",Ввод!$E$20:$E$27))),IF(N87="Ед. × месяц",IF(H87&lt;&gt;"",H87,MAX(1,SUMIF(Ввод!$G$20:$G$27,"QTY",Ввод!$E$20:$E$27)))*MAX(1,SUMIF(Ввод!$G$20:$G$27,"TERM_MONTHS",Ввод!$E$20:$E$27)),1))))</f>
        <v/>
      </c>
      <c r="P87" s="31" t="str">
        <f>IF(D87="","",F87*O87*IF(SUMIF(Ввод!$G$20:$G$27,"COMPLEXITY",Ввод!$E$20:$E$27)=0,1,SUMIF(Ввод!$G$20:$G$27,"COMPLEXITY",Ввод!$E$20:$E$27))*(1+SUMIF(Ввод!$G$20:$G$27,"RISK_PCT",Ввод!$E$20:$E$27)))</f>
        <v/>
      </c>
      <c r="Q87" s="30" t="str">
        <f t="shared" si="9"/>
        <v/>
      </c>
      <c r="R87" s="30" t="str">
        <f t="shared" si="10"/>
        <v/>
      </c>
      <c r="S87" s="32" t="str">
        <f>IF(D87="","",P87/(Ввод!$B$11*IF(SUMIF(Ввод!$G$20:$G$27,"PARALLEL_FTE",Ввод!$E$20:$E$27)=0,1,SUMIF(Ввод!$G$20:$G$27,"PARALLEL_FTE",Ввод!$E$20:$E$27))))</f>
        <v/>
      </c>
      <c r="T87" s="29" t="str">
        <f t="shared" si="11"/>
        <v/>
      </c>
      <c r="U87" s="28"/>
      <c r="V87" s="28"/>
    </row>
    <row r="88" spans="1:22">
      <c r="A88" s="33"/>
      <c r="B88" s="28"/>
      <c r="C88" s="28"/>
      <c r="D88" s="28"/>
      <c r="E88" s="28"/>
      <c r="F88" s="34"/>
      <c r="G88" s="33" t="s">
        <v>82</v>
      </c>
      <c r="H88" s="33"/>
      <c r="I88" s="35"/>
      <c r="J88" s="35"/>
      <c r="K88" s="29" t="str">
        <f t="shared" si="8"/>
        <v/>
      </c>
      <c r="L88" s="30" t="str">
        <f>IF(D88="","",IF(I88&lt;&gt;"",I88,IFERROR(VLOOKUP(K88,'Справочник ролей'!$A$2:$E$20,4,FALSE),0)))</f>
        <v/>
      </c>
      <c r="M88" s="30" t="str">
        <f>IF(D88="","",IF(J88&lt;&gt;"",J88,IFERROR(VLOOKUP(K88,'Справочник ролей'!$A$2:$E$20,5,FALSE),0)))</f>
        <v/>
      </c>
      <c r="N88" s="29" t="str">
        <f>IF(D88="","",IF(G88&lt;&gt;"Авто",G88,IF(Ввод!$B$13&lt;&gt;"Авто",Ввод!$B$13,IFERROR(VLOOKUP(Ввод!$B$5,'Справочник типов'!$A$2:$I$27,9,FALSE),"Всего"))))</f>
        <v/>
      </c>
      <c r="O88" s="31" t="str">
        <f>IF(D88="","",IF(N88="В месяц",MAX(1,SUMIF(Ввод!$G$20:$G$27,"TERM_MONTHS",Ввод!$E$20:$E$27)),IF(N88="На единицу",IF(H88&lt;&gt;"",H88,MAX(1,SUMIF(Ввод!$G$20:$G$27,"QTY",Ввод!$E$20:$E$27))),IF(N88="Ед. × месяц",IF(H88&lt;&gt;"",H88,MAX(1,SUMIF(Ввод!$G$20:$G$27,"QTY",Ввод!$E$20:$E$27)))*MAX(1,SUMIF(Ввод!$G$20:$G$27,"TERM_MONTHS",Ввод!$E$20:$E$27)),1))))</f>
        <v/>
      </c>
      <c r="P88" s="31" t="str">
        <f>IF(D88="","",F88*O88*IF(SUMIF(Ввод!$G$20:$G$27,"COMPLEXITY",Ввод!$E$20:$E$27)=0,1,SUMIF(Ввод!$G$20:$G$27,"COMPLEXITY",Ввод!$E$20:$E$27))*(1+SUMIF(Ввод!$G$20:$G$27,"RISK_PCT",Ввод!$E$20:$E$27)))</f>
        <v/>
      </c>
      <c r="Q88" s="30" t="str">
        <f t="shared" si="9"/>
        <v/>
      </c>
      <c r="R88" s="30" t="str">
        <f t="shared" si="10"/>
        <v/>
      </c>
      <c r="S88" s="32" t="str">
        <f>IF(D88="","",P88/(Ввод!$B$11*IF(SUMIF(Ввод!$G$20:$G$27,"PARALLEL_FTE",Ввод!$E$20:$E$27)=0,1,SUMIF(Ввод!$G$20:$G$27,"PARALLEL_FTE",Ввод!$E$20:$E$27))))</f>
        <v/>
      </c>
      <c r="T88" s="29" t="str">
        <f t="shared" si="11"/>
        <v/>
      </c>
      <c r="U88" s="28"/>
      <c r="V88" s="28"/>
    </row>
    <row r="89" spans="1:22">
      <c r="A89" s="33"/>
      <c r="B89" s="28"/>
      <c r="C89" s="28"/>
      <c r="D89" s="28"/>
      <c r="E89" s="28"/>
      <c r="F89" s="34"/>
      <c r="G89" s="33" t="s">
        <v>82</v>
      </c>
      <c r="H89" s="33"/>
      <c r="I89" s="35"/>
      <c r="J89" s="35"/>
      <c r="K89" s="29" t="str">
        <f t="shared" si="8"/>
        <v/>
      </c>
      <c r="L89" s="30" t="str">
        <f>IF(D89="","",IF(I89&lt;&gt;"",I89,IFERROR(VLOOKUP(K89,'Справочник ролей'!$A$2:$E$20,4,FALSE),0)))</f>
        <v/>
      </c>
      <c r="M89" s="30" t="str">
        <f>IF(D89="","",IF(J89&lt;&gt;"",J89,IFERROR(VLOOKUP(K89,'Справочник ролей'!$A$2:$E$20,5,FALSE),0)))</f>
        <v/>
      </c>
      <c r="N89" s="29" t="str">
        <f>IF(D89="","",IF(G89&lt;&gt;"Авто",G89,IF(Ввод!$B$13&lt;&gt;"Авто",Ввод!$B$13,IFERROR(VLOOKUP(Ввод!$B$5,'Справочник типов'!$A$2:$I$27,9,FALSE),"Всего"))))</f>
        <v/>
      </c>
      <c r="O89" s="31" t="str">
        <f>IF(D89="","",IF(N89="В месяц",MAX(1,SUMIF(Ввод!$G$20:$G$27,"TERM_MONTHS",Ввод!$E$20:$E$27)),IF(N89="На единицу",IF(H89&lt;&gt;"",H89,MAX(1,SUMIF(Ввод!$G$20:$G$27,"QTY",Ввод!$E$20:$E$27))),IF(N89="Ед. × месяц",IF(H89&lt;&gt;"",H89,MAX(1,SUMIF(Ввод!$G$20:$G$27,"QTY",Ввод!$E$20:$E$27)))*MAX(1,SUMIF(Ввод!$G$20:$G$27,"TERM_MONTHS",Ввод!$E$20:$E$27)),1))))</f>
        <v/>
      </c>
      <c r="P89" s="31" t="str">
        <f>IF(D89="","",F89*O89*IF(SUMIF(Ввод!$G$20:$G$27,"COMPLEXITY",Ввод!$E$20:$E$27)=0,1,SUMIF(Ввод!$G$20:$G$27,"COMPLEXITY",Ввод!$E$20:$E$27))*(1+SUMIF(Ввод!$G$20:$G$27,"RISK_PCT",Ввод!$E$20:$E$27)))</f>
        <v/>
      </c>
      <c r="Q89" s="30" t="str">
        <f t="shared" si="9"/>
        <v/>
      </c>
      <c r="R89" s="30" t="str">
        <f t="shared" si="10"/>
        <v/>
      </c>
      <c r="S89" s="32" t="str">
        <f>IF(D89="","",P89/(Ввод!$B$11*IF(SUMIF(Ввод!$G$20:$G$27,"PARALLEL_FTE",Ввод!$E$20:$E$27)=0,1,SUMIF(Ввод!$G$20:$G$27,"PARALLEL_FTE",Ввод!$E$20:$E$27))))</f>
        <v/>
      </c>
      <c r="T89" s="29" t="str">
        <f t="shared" si="11"/>
        <v/>
      </c>
      <c r="U89" s="28"/>
      <c r="V89" s="28"/>
    </row>
    <row r="90" spans="1:22">
      <c r="A90" s="33"/>
      <c r="B90" s="28"/>
      <c r="C90" s="28"/>
      <c r="D90" s="28"/>
      <c r="E90" s="28"/>
      <c r="F90" s="34"/>
      <c r="G90" s="33" t="s">
        <v>82</v>
      </c>
      <c r="H90" s="33"/>
      <c r="I90" s="35"/>
      <c r="J90" s="35"/>
      <c r="K90" s="29" t="str">
        <f t="shared" si="8"/>
        <v/>
      </c>
      <c r="L90" s="30" t="str">
        <f>IF(D90="","",IF(I90&lt;&gt;"",I90,IFERROR(VLOOKUP(K90,'Справочник ролей'!$A$2:$E$20,4,FALSE),0)))</f>
        <v/>
      </c>
      <c r="M90" s="30" t="str">
        <f>IF(D90="","",IF(J90&lt;&gt;"",J90,IFERROR(VLOOKUP(K90,'Справочник ролей'!$A$2:$E$20,5,FALSE),0)))</f>
        <v/>
      </c>
      <c r="N90" s="29" t="str">
        <f>IF(D90="","",IF(G90&lt;&gt;"Авто",G90,IF(Ввод!$B$13&lt;&gt;"Авто",Ввод!$B$13,IFERROR(VLOOKUP(Ввод!$B$5,'Справочник типов'!$A$2:$I$27,9,FALSE),"Всего"))))</f>
        <v/>
      </c>
      <c r="O90" s="31" t="str">
        <f>IF(D90="","",IF(N90="В месяц",MAX(1,SUMIF(Ввод!$G$20:$G$27,"TERM_MONTHS",Ввод!$E$20:$E$27)),IF(N90="На единицу",IF(H90&lt;&gt;"",H90,MAX(1,SUMIF(Ввод!$G$20:$G$27,"QTY",Ввод!$E$20:$E$27))),IF(N90="Ед. × месяц",IF(H90&lt;&gt;"",H90,MAX(1,SUMIF(Ввод!$G$20:$G$27,"QTY",Ввод!$E$20:$E$27)))*MAX(1,SUMIF(Ввод!$G$20:$G$27,"TERM_MONTHS",Ввод!$E$20:$E$27)),1))))</f>
        <v/>
      </c>
      <c r="P90" s="31" t="str">
        <f>IF(D90="","",F90*O90*IF(SUMIF(Ввод!$G$20:$G$27,"COMPLEXITY",Ввод!$E$20:$E$27)=0,1,SUMIF(Ввод!$G$20:$G$27,"COMPLEXITY",Ввод!$E$20:$E$27))*(1+SUMIF(Ввод!$G$20:$G$27,"RISK_PCT",Ввод!$E$20:$E$27)))</f>
        <v/>
      </c>
      <c r="Q90" s="30" t="str">
        <f t="shared" si="9"/>
        <v/>
      </c>
      <c r="R90" s="30" t="str">
        <f t="shared" si="10"/>
        <v/>
      </c>
      <c r="S90" s="32" t="str">
        <f>IF(D90="","",P90/(Ввод!$B$11*IF(SUMIF(Ввод!$G$20:$G$27,"PARALLEL_FTE",Ввод!$E$20:$E$27)=0,1,SUMIF(Ввод!$G$20:$G$27,"PARALLEL_FTE",Ввод!$E$20:$E$27))))</f>
        <v/>
      </c>
      <c r="T90" s="29" t="str">
        <f t="shared" si="11"/>
        <v/>
      </c>
      <c r="U90" s="28"/>
      <c r="V90" s="28"/>
    </row>
    <row r="91" spans="1:22">
      <c r="A91" s="33"/>
      <c r="B91" s="28"/>
      <c r="C91" s="28"/>
      <c r="D91" s="28"/>
      <c r="E91" s="28"/>
      <c r="F91" s="34"/>
      <c r="G91" s="33" t="s">
        <v>82</v>
      </c>
      <c r="H91" s="33"/>
      <c r="I91" s="35"/>
      <c r="J91" s="35"/>
      <c r="K91" s="29" t="str">
        <f t="shared" si="8"/>
        <v/>
      </c>
      <c r="L91" s="30" t="str">
        <f>IF(D91="","",IF(I91&lt;&gt;"",I91,IFERROR(VLOOKUP(K91,'Справочник ролей'!$A$2:$E$20,4,FALSE),0)))</f>
        <v/>
      </c>
      <c r="M91" s="30" t="str">
        <f>IF(D91="","",IF(J91&lt;&gt;"",J91,IFERROR(VLOOKUP(K91,'Справочник ролей'!$A$2:$E$20,5,FALSE),0)))</f>
        <v/>
      </c>
      <c r="N91" s="29" t="str">
        <f>IF(D91="","",IF(G91&lt;&gt;"Авто",G91,IF(Ввод!$B$13&lt;&gt;"Авто",Ввод!$B$13,IFERROR(VLOOKUP(Ввод!$B$5,'Справочник типов'!$A$2:$I$27,9,FALSE),"Всего"))))</f>
        <v/>
      </c>
      <c r="O91" s="31" t="str">
        <f>IF(D91="","",IF(N91="В месяц",MAX(1,SUMIF(Ввод!$G$20:$G$27,"TERM_MONTHS",Ввод!$E$20:$E$27)),IF(N91="На единицу",IF(H91&lt;&gt;"",H91,MAX(1,SUMIF(Ввод!$G$20:$G$27,"QTY",Ввод!$E$20:$E$27))),IF(N91="Ед. × месяц",IF(H91&lt;&gt;"",H91,MAX(1,SUMIF(Ввод!$G$20:$G$27,"QTY",Ввод!$E$20:$E$27)))*MAX(1,SUMIF(Ввод!$G$20:$G$27,"TERM_MONTHS",Ввод!$E$20:$E$27)),1))))</f>
        <v/>
      </c>
      <c r="P91" s="31" t="str">
        <f>IF(D91="","",F91*O91*IF(SUMIF(Ввод!$G$20:$G$27,"COMPLEXITY",Ввод!$E$20:$E$27)=0,1,SUMIF(Ввод!$G$20:$G$27,"COMPLEXITY",Ввод!$E$20:$E$27))*(1+SUMIF(Ввод!$G$20:$G$27,"RISK_PCT",Ввод!$E$20:$E$27)))</f>
        <v/>
      </c>
      <c r="Q91" s="30" t="str">
        <f t="shared" si="9"/>
        <v/>
      </c>
      <c r="R91" s="30" t="str">
        <f t="shared" si="10"/>
        <v/>
      </c>
      <c r="S91" s="32" t="str">
        <f>IF(D91="","",P91/(Ввод!$B$11*IF(SUMIF(Ввод!$G$20:$G$27,"PARALLEL_FTE",Ввод!$E$20:$E$27)=0,1,SUMIF(Ввод!$G$20:$G$27,"PARALLEL_FTE",Ввод!$E$20:$E$27))))</f>
        <v/>
      </c>
      <c r="T91" s="29" t="str">
        <f t="shared" si="11"/>
        <v/>
      </c>
      <c r="U91" s="28"/>
      <c r="V91" s="28"/>
    </row>
    <row r="92" spans="1:22">
      <c r="A92" s="33"/>
      <c r="B92" s="28"/>
      <c r="C92" s="28"/>
      <c r="D92" s="28"/>
      <c r="E92" s="28"/>
      <c r="F92" s="34"/>
      <c r="G92" s="33" t="s">
        <v>82</v>
      </c>
      <c r="H92" s="33"/>
      <c r="I92" s="35"/>
      <c r="J92" s="35"/>
      <c r="K92" s="29" t="str">
        <f t="shared" si="8"/>
        <v/>
      </c>
      <c r="L92" s="30" t="str">
        <f>IF(D92="","",IF(I92&lt;&gt;"",I92,IFERROR(VLOOKUP(K92,'Справочник ролей'!$A$2:$E$20,4,FALSE),0)))</f>
        <v/>
      </c>
      <c r="M92" s="30" t="str">
        <f>IF(D92="","",IF(J92&lt;&gt;"",J92,IFERROR(VLOOKUP(K92,'Справочник ролей'!$A$2:$E$20,5,FALSE),0)))</f>
        <v/>
      </c>
      <c r="N92" s="29" t="str">
        <f>IF(D92="","",IF(G92&lt;&gt;"Авто",G92,IF(Ввод!$B$13&lt;&gt;"Авто",Ввод!$B$13,IFERROR(VLOOKUP(Ввод!$B$5,'Справочник типов'!$A$2:$I$27,9,FALSE),"Всего"))))</f>
        <v/>
      </c>
      <c r="O92" s="31" t="str">
        <f>IF(D92="","",IF(N92="В месяц",MAX(1,SUMIF(Ввод!$G$20:$G$27,"TERM_MONTHS",Ввод!$E$20:$E$27)),IF(N92="На единицу",IF(H92&lt;&gt;"",H92,MAX(1,SUMIF(Ввод!$G$20:$G$27,"QTY",Ввод!$E$20:$E$27))),IF(N92="Ед. × месяц",IF(H92&lt;&gt;"",H92,MAX(1,SUMIF(Ввод!$G$20:$G$27,"QTY",Ввод!$E$20:$E$27)))*MAX(1,SUMIF(Ввод!$G$20:$G$27,"TERM_MONTHS",Ввод!$E$20:$E$27)),1))))</f>
        <v/>
      </c>
      <c r="P92" s="31" t="str">
        <f>IF(D92="","",F92*O92*IF(SUMIF(Ввод!$G$20:$G$27,"COMPLEXITY",Ввод!$E$20:$E$27)=0,1,SUMIF(Ввод!$G$20:$G$27,"COMPLEXITY",Ввод!$E$20:$E$27))*(1+SUMIF(Ввод!$G$20:$G$27,"RISK_PCT",Ввод!$E$20:$E$27)))</f>
        <v/>
      </c>
      <c r="Q92" s="30" t="str">
        <f t="shared" si="9"/>
        <v/>
      </c>
      <c r="R92" s="30" t="str">
        <f t="shared" si="10"/>
        <v/>
      </c>
      <c r="S92" s="32" t="str">
        <f>IF(D92="","",P92/(Ввод!$B$11*IF(SUMIF(Ввод!$G$20:$G$27,"PARALLEL_FTE",Ввод!$E$20:$E$27)=0,1,SUMIF(Ввод!$G$20:$G$27,"PARALLEL_FTE",Ввод!$E$20:$E$27))))</f>
        <v/>
      </c>
      <c r="T92" s="29" t="str">
        <f t="shared" si="11"/>
        <v/>
      </c>
      <c r="U92" s="28"/>
      <c r="V92" s="28"/>
    </row>
    <row r="93" spans="1:22">
      <c r="A93" s="33"/>
      <c r="B93" s="28"/>
      <c r="C93" s="28"/>
      <c r="D93" s="28"/>
      <c r="E93" s="28"/>
      <c r="F93" s="34"/>
      <c r="G93" s="33" t="s">
        <v>82</v>
      </c>
      <c r="H93" s="33"/>
      <c r="I93" s="35"/>
      <c r="J93" s="35"/>
      <c r="K93" s="29" t="str">
        <f t="shared" si="8"/>
        <v/>
      </c>
      <c r="L93" s="30" t="str">
        <f>IF(D93="","",IF(I93&lt;&gt;"",I93,IFERROR(VLOOKUP(K93,'Справочник ролей'!$A$2:$E$20,4,FALSE),0)))</f>
        <v/>
      </c>
      <c r="M93" s="30" t="str">
        <f>IF(D93="","",IF(J93&lt;&gt;"",J93,IFERROR(VLOOKUP(K93,'Справочник ролей'!$A$2:$E$20,5,FALSE),0)))</f>
        <v/>
      </c>
      <c r="N93" s="29" t="str">
        <f>IF(D93="","",IF(G93&lt;&gt;"Авто",G93,IF(Ввод!$B$13&lt;&gt;"Авто",Ввод!$B$13,IFERROR(VLOOKUP(Ввод!$B$5,'Справочник типов'!$A$2:$I$27,9,FALSE),"Всего"))))</f>
        <v/>
      </c>
      <c r="O93" s="31" t="str">
        <f>IF(D93="","",IF(N93="В месяц",MAX(1,SUMIF(Ввод!$G$20:$G$27,"TERM_MONTHS",Ввод!$E$20:$E$27)),IF(N93="На единицу",IF(H93&lt;&gt;"",H93,MAX(1,SUMIF(Ввод!$G$20:$G$27,"QTY",Ввод!$E$20:$E$27))),IF(N93="Ед. × месяц",IF(H93&lt;&gt;"",H93,MAX(1,SUMIF(Ввод!$G$20:$G$27,"QTY",Ввод!$E$20:$E$27)))*MAX(1,SUMIF(Ввод!$G$20:$G$27,"TERM_MONTHS",Ввод!$E$20:$E$27)),1))))</f>
        <v/>
      </c>
      <c r="P93" s="31" t="str">
        <f>IF(D93="","",F93*O93*IF(SUMIF(Ввод!$G$20:$G$27,"COMPLEXITY",Ввод!$E$20:$E$27)=0,1,SUMIF(Ввод!$G$20:$G$27,"COMPLEXITY",Ввод!$E$20:$E$27))*(1+SUMIF(Ввод!$G$20:$G$27,"RISK_PCT",Ввод!$E$20:$E$27)))</f>
        <v/>
      </c>
      <c r="Q93" s="30" t="str">
        <f t="shared" si="9"/>
        <v/>
      </c>
      <c r="R93" s="30" t="str">
        <f t="shared" si="10"/>
        <v/>
      </c>
      <c r="S93" s="32" t="str">
        <f>IF(D93="","",P93/(Ввод!$B$11*IF(SUMIF(Ввод!$G$20:$G$27,"PARALLEL_FTE",Ввод!$E$20:$E$27)=0,1,SUMIF(Ввод!$G$20:$G$27,"PARALLEL_FTE",Ввод!$E$20:$E$27))))</f>
        <v/>
      </c>
      <c r="T93" s="29" t="str">
        <f t="shared" si="11"/>
        <v/>
      </c>
      <c r="U93" s="28"/>
      <c r="V93" s="28"/>
    </row>
    <row r="94" spans="1:22">
      <c r="A94" s="33"/>
      <c r="B94" s="28"/>
      <c r="C94" s="28"/>
      <c r="D94" s="28"/>
      <c r="E94" s="28"/>
      <c r="F94" s="34"/>
      <c r="G94" s="33" t="s">
        <v>82</v>
      </c>
      <c r="H94" s="33"/>
      <c r="I94" s="35"/>
      <c r="J94" s="35"/>
      <c r="K94" s="29" t="str">
        <f t="shared" si="8"/>
        <v/>
      </c>
      <c r="L94" s="30" t="str">
        <f>IF(D94="","",IF(I94&lt;&gt;"",I94,IFERROR(VLOOKUP(K94,'Справочник ролей'!$A$2:$E$20,4,FALSE),0)))</f>
        <v/>
      </c>
      <c r="M94" s="30" t="str">
        <f>IF(D94="","",IF(J94&lt;&gt;"",J94,IFERROR(VLOOKUP(K94,'Справочник ролей'!$A$2:$E$20,5,FALSE),0)))</f>
        <v/>
      </c>
      <c r="N94" s="29" t="str">
        <f>IF(D94="","",IF(G94&lt;&gt;"Авто",G94,IF(Ввод!$B$13&lt;&gt;"Авто",Ввод!$B$13,IFERROR(VLOOKUP(Ввод!$B$5,'Справочник типов'!$A$2:$I$27,9,FALSE),"Всего"))))</f>
        <v/>
      </c>
      <c r="O94" s="31" t="str">
        <f>IF(D94="","",IF(N94="В месяц",MAX(1,SUMIF(Ввод!$G$20:$G$27,"TERM_MONTHS",Ввод!$E$20:$E$27)),IF(N94="На единицу",IF(H94&lt;&gt;"",H94,MAX(1,SUMIF(Ввод!$G$20:$G$27,"QTY",Ввод!$E$20:$E$27))),IF(N94="Ед. × месяц",IF(H94&lt;&gt;"",H94,MAX(1,SUMIF(Ввод!$G$20:$G$27,"QTY",Ввод!$E$20:$E$27)))*MAX(1,SUMIF(Ввод!$G$20:$G$27,"TERM_MONTHS",Ввод!$E$20:$E$27)),1))))</f>
        <v/>
      </c>
      <c r="P94" s="31" t="str">
        <f>IF(D94="","",F94*O94*IF(SUMIF(Ввод!$G$20:$G$27,"COMPLEXITY",Ввод!$E$20:$E$27)=0,1,SUMIF(Ввод!$G$20:$G$27,"COMPLEXITY",Ввод!$E$20:$E$27))*(1+SUMIF(Ввод!$G$20:$G$27,"RISK_PCT",Ввод!$E$20:$E$27)))</f>
        <v/>
      </c>
      <c r="Q94" s="30" t="str">
        <f t="shared" si="9"/>
        <v/>
      </c>
      <c r="R94" s="30" t="str">
        <f t="shared" si="10"/>
        <v/>
      </c>
      <c r="S94" s="32" t="str">
        <f>IF(D94="","",P94/(Ввод!$B$11*IF(SUMIF(Ввод!$G$20:$G$27,"PARALLEL_FTE",Ввод!$E$20:$E$27)=0,1,SUMIF(Ввод!$G$20:$G$27,"PARALLEL_FTE",Ввод!$E$20:$E$27))))</f>
        <v/>
      </c>
      <c r="T94" s="29" t="str">
        <f t="shared" si="11"/>
        <v/>
      </c>
      <c r="U94" s="28"/>
      <c r="V94" s="28"/>
    </row>
    <row r="95" spans="1:22">
      <c r="A95" s="33"/>
      <c r="B95" s="28"/>
      <c r="C95" s="28"/>
      <c r="D95" s="28"/>
      <c r="E95" s="28"/>
      <c r="F95" s="34"/>
      <c r="G95" s="33" t="s">
        <v>82</v>
      </c>
      <c r="H95" s="33"/>
      <c r="I95" s="35"/>
      <c r="J95" s="35"/>
      <c r="K95" s="29" t="str">
        <f t="shared" si="8"/>
        <v/>
      </c>
      <c r="L95" s="30" t="str">
        <f>IF(D95="","",IF(I95&lt;&gt;"",I95,IFERROR(VLOOKUP(K95,'Справочник ролей'!$A$2:$E$20,4,FALSE),0)))</f>
        <v/>
      </c>
      <c r="M95" s="30" t="str">
        <f>IF(D95="","",IF(J95&lt;&gt;"",J95,IFERROR(VLOOKUP(K95,'Справочник ролей'!$A$2:$E$20,5,FALSE),0)))</f>
        <v/>
      </c>
      <c r="N95" s="29" t="str">
        <f>IF(D95="","",IF(G95&lt;&gt;"Авто",G95,IF(Ввод!$B$13&lt;&gt;"Авто",Ввод!$B$13,IFERROR(VLOOKUP(Ввод!$B$5,'Справочник типов'!$A$2:$I$27,9,FALSE),"Всего"))))</f>
        <v/>
      </c>
      <c r="O95" s="31" t="str">
        <f>IF(D95="","",IF(N95="В месяц",MAX(1,SUMIF(Ввод!$G$20:$G$27,"TERM_MONTHS",Ввод!$E$20:$E$27)),IF(N95="На единицу",IF(H95&lt;&gt;"",H95,MAX(1,SUMIF(Ввод!$G$20:$G$27,"QTY",Ввод!$E$20:$E$27))),IF(N95="Ед. × месяц",IF(H95&lt;&gt;"",H95,MAX(1,SUMIF(Ввод!$G$20:$G$27,"QTY",Ввод!$E$20:$E$27)))*MAX(1,SUMIF(Ввод!$G$20:$G$27,"TERM_MONTHS",Ввод!$E$20:$E$27)),1))))</f>
        <v/>
      </c>
      <c r="P95" s="31" t="str">
        <f>IF(D95="","",F95*O95*IF(SUMIF(Ввод!$G$20:$G$27,"COMPLEXITY",Ввод!$E$20:$E$27)=0,1,SUMIF(Ввод!$G$20:$G$27,"COMPLEXITY",Ввод!$E$20:$E$27))*(1+SUMIF(Ввод!$G$20:$G$27,"RISK_PCT",Ввод!$E$20:$E$27)))</f>
        <v/>
      </c>
      <c r="Q95" s="30" t="str">
        <f t="shared" si="9"/>
        <v/>
      </c>
      <c r="R95" s="30" t="str">
        <f t="shared" si="10"/>
        <v/>
      </c>
      <c r="S95" s="32" t="str">
        <f>IF(D95="","",P95/(Ввод!$B$11*IF(SUMIF(Ввод!$G$20:$G$27,"PARALLEL_FTE",Ввод!$E$20:$E$27)=0,1,SUMIF(Ввод!$G$20:$G$27,"PARALLEL_FTE",Ввод!$E$20:$E$27))))</f>
        <v/>
      </c>
      <c r="T95" s="29" t="str">
        <f t="shared" si="11"/>
        <v/>
      </c>
      <c r="U95" s="28"/>
      <c r="V95" s="28"/>
    </row>
    <row r="96" spans="1:22">
      <c r="A96" s="33"/>
      <c r="B96" s="28"/>
      <c r="C96" s="28"/>
      <c r="D96" s="28"/>
      <c r="E96" s="28"/>
      <c r="F96" s="34"/>
      <c r="G96" s="33" t="s">
        <v>82</v>
      </c>
      <c r="H96" s="33"/>
      <c r="I96" s="35"/>
      <c r="J96" s="35"/>
      <c r="K96" s="29" t="str">
        <f t="shared" si="8"/>
        <v/>
      </c>
      <c r="L96" s="30" t="str">
        <f>IF(D96="","",IF(I96&lt;&gt;"",I96,IFERROR(VLOOKUP(K96,'Справочник ролей'!$A$2:$E$20,4,FALSE),0)))</f>
        <v/>
      </c>
      <c r="M96" s="30" t="str">
        <f>IF(D96="","",IF(J96&lt;&gt;"",J96,IFERROR(VLOOKUP(K96,'Справочник ролей'!$A$2:$E$20,5,FALSE),0)))</f>
        <v/>
      </c>
      <c r="N96" s="29" t="str">
        <f>IF(D96="","",IF(G96&lt;&gt;"Авто",G96,IF(Ввод!$B$13&lt;&gt;"Авто",Ввод!$B$13,IFERROR(VLOOKUP(Ввод!$B$5,'Справочник типов'!$A$2:$I$27,9,FALSE),"Всего"))))</f>
        <v/>
      </c>
      <c r="O96" s="31" t="str">
        <f>IF(D96="","",IF(N96="В месяц",MAX(1,SUMIF(Ввод!$G$20:$G$27,"TERM_MONTHS",Ввод!$E$20:$E$27)),IF(N96="На единицу",IF(H96&lt;&gt;"",H96,MAX(1,SUMIF(Ввод!$G$20:$G$27,"QTY",Ввод!$E$20:$E$27))),IF(N96="Ед. × месяц",IF(H96&lt;&gt;"",H96,MAX(1,SUMIF(Ввод!$G$20:$G$27,"QTY",Ввод!$E$20:$E$27)))*MAX(1,SUMIF(Ввод!$G$20:$G$27,"TERM_MONTHS",Ввод!$E$20:$E$27)),1))))</f>
        <v/>
      </c>
      <c r="P96" s="31" t="str">
        <f>IF(D96="","",F96*O96*IF(SUMIF(Ввод!$G$20:$G$27,"COMPLEXITY",Ввод!$E$20:$E$27)=0,1,SUMIF(Ввод!$G$20:$G$27,"COMPLEXITY",Ввод!$E$20:$E$27))*(1+SUMIF(Ввод!$G$20:$G$27,"RISK_PCT",Ввод!$E$20:$E$27)))</f>
        <v/>
      </c>
      <c r="Q96" s="30" t="str">
        <f t="shared" si="9"/>
        <v/>
      </c>
      <c r="R96" s="30" t="str">
        <f t="shared" si="10"/>
        <v/>
      </c>
      <c r="S96" s="32" t="str">
        <f>IF(D96="","",P96/(Ввод!$B$11*IF(SUMIF(Ввод!$G$20:$G$27,"PARALLEL_FTE",Ввод!$E$20:$E$27)=0,1,SUMIF(Ввод!$G$20:$G$27,"PARALLEL_FTE",Ввод!$E$20:$E$27))))</f>
        <v/>
      </c>
      <c r="T96" s="29" t="str">
        <f t="shared" si="11"/>
        <v/>
      </c>
      <c r="U96" s="28"/>
      <c r="V96" s="28"/>
    </row>
    <row r="97" spans="1:22">
      <c r="A97" s="33"/>
      <c r="B97" s="28"/>
      <c r="C97" s="28"/>
      <c r="D97" s="28"/>
      <c r="E97" s="28"/>
      <c r="F97" s="34"/>
      <c r="G97" s="33" t="s">
        <v>82</v>
      </c>
      <c r="H97" s="33"/>
      <c r="I97" s="35"/>
      <c r="J97" s="35"/>
      <c r="K97" s="29" t="str">
        <f t="shared" si="8"/>
        <v/>
      </c>
      <c r="L97" s="30" t="str">
        <f>IF(D97="","",IF(I97&lt;&gt;"",I97,IFERROR(VLOOKUP(K97,'Справочник ролей'!$A$2:$E$20,4,FALSE),0)))</f>
        <v/>
      </c>
      <c r="M97" s="30" t="str">
        <f>IF(D97="","",IF(J97&lt;&gt;"",J97,IFERROR(VLOOKUP(K97,'Справочник ролей'!$A$2:$E$20,5,FALSE),0)))</f>
        <v/>
      </c>
      <c r="N97" s="29" t="str">
        <f>IF(D97="","",IF(G97&lt;&gt;"Авто",G97,IF(Ввод!$B$13&lt;&gt;"Авто",Ввод!$B$13,IFERROR(VLOOKUP(Ввод!$B$5,'Справочник типов'!$A$2:$I$27,9,FALSE),"Всего"))))</f>
        <v/>
      </c>
      <c r="O97" s="31" t="str">
        <f>IF(D97="","",IF(N97="В месяц",MAX(1,SUMIF(Ввод!$G$20:$G$27,"TERM_MONTHS",Ввод!$E$20:$E$27)),IF(N97="На единицу",IF(H97&lt;&gt;"",H97,MAX(1,SUMIF(Ввод!$G$20:$G$27,"QTY",Ввод!$E$20:$E$27))),IF(N97="Ед. × месяц",IF(H97&lt;&gt;"",H97,MAX(1,SUMIF(Ввод!$G$20:$G$27,"QTY",Ввод!$E$20:$E$27)))*MAX(1,SUMIF(Ввод!$G$20:$G$27,"TERM_MONTHS",Ввод!$E$20:$E$27)),1))))</f>
        <v/>
      </c>
      <c r="P97" s="31" t="str">
        <f>IF(D97="","",F97*O97*IF(SUMIF(Ввод!$G$20:$G$27,"COMPLEXITY",Ввод!$E$20:$E$27)=0,1,SUMIF(Ввод!$G$20:$G$27,"COMPLEXITY",Ввод!$E$20:$E$27))*(1+SUMIF(Ввод!$G$20:$G$27,"RISK_PCT",Ввод!$E$20:$E$27)))</f>
        <v/>
      </c>
      <c r="Q97" s="30" t="str">
        <f t="shared" si="9"/>
        <v/>
      </c>
      <c r="R97" s="30" t="str">
        <f t="shared" si="10"/>
        <v/>
      </c>
      <c r="S97" s="32" t="str">
        <f>IF(D97="","",P97/(Ввод!$B$11*IF(SUMIF(Ввод!$G$20:$G$27,"PARALLEL_FTE",Ввод!$E$20:$E$27)=0,1,SUMIF(Ввод!$G$20:$G$27,"PARALLEL_FTE",Ввод!$E$20:$E$27))))</f>
        <v/>
      </c>
      <c r="T97" s="29" t="str">
        <f t="shared" si="11"/>
        <v/>
      </c>
      <c r="U97" s="28"/>
      <c r="V97" s="28"/>
    </row>
    <row r="98" spans="1:22">
      <c r="A98" s="33"/>
      <c r="B98" s="28"/>
      <c r="C98" s="28"/>
      <c r="D98" s="28"/>
      <c r="E98" s="28"/>
      <c r="F98" s="34"/>
      <c r="G98" s="33" t="s">
        <v>82</v>
      </c>
      <c r="H98" s="33"/>
      <c r="I98" s="35"/>
      <c r="J98" s="35"/>
      <c r="K98" s="29" t="str">
        <f t="shared" si="8"/>
        <v/>
      </c>
      <c r="L98" s="30" t="str">
        <f>IF(D98="","",IF(I98&lt;&gt;"",I98,IFERROR(VLOOKUP(K98,'Справочник ролей'!$A$2:$E$20,4,FALSE),0)))</f>
        <v/>
      </c>
      <c r="M98" s="30" t="str">
        <f>IF(D98="","",IF(J98&lt;&gt;"",J98,IFERROR(VLOOKUP(K98,'Справочник ролей'!$A$2:$E$20,5,FALSE),0)))</f>
        <v/>
      </c>
      <c r="N98" s="29" t="str">
        <f>IF(D98="","",IF(G98&lt;&gt;"Авто",G98,IF(Ввод!$B$13&lt;&gt;"Авто",Ввод!$B$13,IFERROR(VLOOKUP(Ввод!$B$5,'Справочник типов'!$A$2:$I$27,9,FALSE),"Всего"))))</f>
        <v/>
      </c>
      <c r="O98" s="31" t="str">
        <f>IF(D98="","",IF(N98="В месяц",MAX(1,SUMIF(Ввод!$G$20:$G$27,"TERM_MONTHS",Ввод!$E$20:$E$27)),IF(N98="На единицу",IF(H98&lt;&gt;"",H98,MAX(1,SUMIF(Ввод!$G$20:$G$27,"QTY",Ввод!$E$20:$E$27))),IF(N98="Ед. × месяц",IF(H98&lt;&gt;"",H98,MAX(1,SUMIF(Ввод!$G$20:$G$27,"QTY",Ввод!$E$20:$E$27)))*MAX(1,SUMIF(Ввод!$G$20:$G$27,"TERM_MONTHS",Ввод!$E$20:$E$27)),1))))</f>
        <v/>
      </c>
      <c r="P98" s="31" t="str">
        <f>IF(D98="","",F98*O98*IF(SUMIF(Ввод!$G$20:$G$27,"COMPLEXITY",Ввод!$E$20:$E$27)=0,1,SUMIF(Ввод!$G$20:$G$27,"COMPLEXITY",Ввод!$E$20:$E$27))*(1+SUMIF(Ввод!$G$20:$G$27,"RISK_PCT",Ввод!$E$20:$E$27)))</f>
        <v/>
      </c>
      <c r="Q98" s="30" t="str">
        <f t="shared" si="9"/>
        <v/>
      </c>
      <c r="R98" s="30" t="str">
        <f t="shared" si="10"/>
        <v/>
      </c>
      <c r="S98" s="32" t="str">
        <f>IF(D98="","",P98/(Ввод!$B$11*IF(SUMIF(Ввод!$G$20:$G$27,"PARALLEL_FTE",Ввод!$E$20:$E$27)=0,1,SUMIF(Ввод!$G$20:$G$27,"PARALLEL_FTE",Ввод!$E$20:$E$27))))</f>
        <v/>
      </c>
      <c r="T98" s="29" t="str">
        <f t="shared" si="11"/>
        <v/>
      </c>
      <c r="U98" s="28"/>
      <c r="V98" s="28"/>
    </row>
    <row r="99" spans="1:22">
      <c r="A99" s="33"/>
      <c r="B99" s="28"/>
      <c r="C99" s="28"/>
      <c r="D99" s="28"/>
      <c r="E99" s="28"/>
      <c r="F99" s="34"/>
      <c r="G99" s="33" t="s">
        <v>82</v>
      </c>
      <c r="H99" s="33"/>
      <c r="I99" s="35"/>
      <c r="J99" s="35"/>
      <c r="K99" s="29" t="str">
        <f t="shared" si="8"/>
        <v/>
      </c>
      <c r="L99" s="30" t="str">
        <f>IF(D99="","",IF(I99&lt;&gt;"",I99,IFERROR(VLOOKUP(K99,'Справочник ролей'!$A$2:$E$20,4,FALSE),0)))</f>
        <v/>
      </c>
      <c r="M99" s="30" t="str">
        <f>IF(D99="","",IF(J99&lt;&gt;"",J99,IFERROR(VLOOKUP(K99,'Справочник ролей'!$A$2:$E$20,5,FALSE),0)))</f>
        <v/>
      </c>
      <c r="N99" s="29" t="str">
        <f>IF(D99="","",IF(G99&lt;&gt;"Авто",G99,IF(Ввод!$B$13&lt;&gt;"Авто",Ввод!$B$13,IFERROR(VLOOKUP(Ввод!$B$5,'Справочник типов'!$A$2:$I$27,9,FALSE),"Всего"))))</f>
        <v/>
      </c>
      <c r="O99" s="31" t="str">
        <f>IF(D99="","",IF(N99="В месяц",MAX(1,SUMIF(Ввод!$G$20:$G$27,"TERM_MONTHS",Ввод!$E$20:$E$27)),IF(N99="На единицу",IF(H99&lt;&gt;"",H99,MAX(1,SUMIF(Ввод!$G$20:$G$27,"QTY",Ввод!$E$20:$E$27))),IF(N99="Ед. × месяц",IF(H99&lt;&gt;"",H99,MAX(1,SUMIF(Ввод!$G$20:$G$27,"QTY",Ввод!$E$20:$E$27)))*MAX(1,SUMIF(Ввод!$G$20:$G$27,"TERM_MONTHS",Ввод!$E$20:$E$27)),1))))</f>
        <v/>
      </c>
      <c r="P99" s="31" t="str">
        <f>IF(D99="","",F99*O99*IF(SUMIF(Ввод!$G$20:$G$27,"COMPLEXITY",Ввод!$E$20:$E$27)=0,1,SUMIF(Ввод!$G$20:$G$27,"COMPLEXITY",Ввод!$E$20:$E$27))*(1+SUMIF(Ввод!$G$20:$G$27,"RISK_PCT",Ввод!$E$20:$E$27)))</f>
        <v/>
      </c>
      <c r="Q99" s="30" t="str">
        <f t="shared" si="9"/>
        <v/>
      </c>
      <c r="R99" s="30" t="str">
        <f t="shared" si="10"/>
        <v/>
      </c>
      <c r="S99" s="32" t="str">
        <f>IF(D99="","",P99/(Ввод!$B$11*IF(SUMIF(Ввод!$G$20:$G$27,"PARALLEL_FTE",Ввод!$E$20:$E$27)=0,1,SUMIF(Ввод!$G$20:$G$27,"PARALLEL_FTE",Ввод!$E$20:$E$27))))</f>
        <v/>
      </c>
      <c r="T99" s="29" t="str">
        <f t="shared" si="11"/>
        <v/>
      </c>
      <c r="U99" s="28"/>
      <c r="V99" s="28"/>
    </row>
    <row r="100" spans="1:22">
      <c r="A100" s="33"/>
      <c r="B100" s="28"/>
      <c r="C100" s="28"/>
      <c r="D100" s="28"/>
      <c r="E100" s="28"/>
      <c r="F100" s="34"/>
      <c r="G100" s="33" t="s">
        <v>82</v>
      </c>
      <c r="H100" s="33"/>
      <c r="I100" s="35"/>
      <c r="J100" s="35"/>
      <c r="K100" s="29" t="str">
        <f t="shared" si="8"/>
        <v/>
      </c>
      <c r="L100" s="30" t="str">
        <f>IF(D100="","",IF(I100&lt;&gt;"",I100,IFERROR(VLOOKUP(K100,'Справочник ролей'!$A$2:$E$20,4,FALSE),0)))</f>
        <v/>
      </c>
      <c r="M100" s="30" t="str">
        <f>IF(D100="","",IF(J100&lt;&gt;"",J100,IFERROR(VLOOKUP(K100,'Справочник ролей'!$A$2:$E$20,5,FALSE),0)))</f>
        <v/>
      </c>
      <c r="N100" s="29" t="str">
        <f>IF(D100="","",IF(G100&lt;&gt;"Авто",G100,IF(Ввод!$B$13&lt;&gt;"Авто",Ввод!$B$13,IFERROR(VLOOKUP(Ввод!$B$5,'Справочник типов'!$A$2:$I$27,9,FALSE),"Всего"))))</f>
        <v/>
      </c>
      <c r="O100" s="31" t="str">
        <f>IF(D100="","",IF(N100="В месяц",MAX(1,SUMIF(Ввод!$G$20:$G$27,"TERM_MONTHS",Ввод!$E$20:$E$27)),IF(N100="На единицу",IF(H100&lt;&gt;"",H100,MAX(1,SUMIF(Ввод!$G$20:$G$27,"QTY",Ввод!$E$20:$E$27))),IF(N100="Ед. × месяц",IF(H100&lt;&gt;"",H100,MAX(1,SUMIF(Ввод!$G$20:$G$27,"QTY",Ввод!$E$20:$E$27)))*MAX(1,SUMIF(Ввод!$G$20:$G$27,"TERM_MONTHS",Ввод!$E$20:$E$27)),1))))</f>
        <v/>
      </c>
      <c r="P100" s="31" t="str">
        <f>IF(D100="","",F100*O100*IF(SUMIF(Ввод!$G$20:$G$27,"COMPLEXITY",Ввод!$E$20:$E$27)=0,1,SUMIF(Ввод!$G$20:$G$27,"COMPLEXITY",Ввод!$E$20:$E$27))*(1+SUMIF(Ввод!$G$20:$G$27,"RISK_PCT",Ввод!$E$20:$E$27)))</f>
        <v/>
      </c>
      <c r="Q100" s="30" t="str">
        <f t="shared" si="9"/>
        <v/>
      </c>
      <c r="R100" s="30" t="str">
        <f t="shared" si="10"/>
        <v/>
      </c>
      <c r="S100" s="32" t="str">
        <f>IF(D100="","",P100/(Ввод!$B$11*IF(SUMIF(Ввод!$G$20:$G$27,"PARALLEL_FTE",Ввод!$E$20:$E$27)=0,1,SUMIF(Ввод!$G$20:$G$27,"PARALLEL_FTE",Ввод!$E$20:$E$27))))</f>
        <v/>
      </c>
      <c r="T100" s="29" t="str">
        <f t="shared" si="11"/>
        <v/>
      </c>
      <c r="U100" s="28"/>
      <c r="V100" s="28"/>
    </row>
    <row r="101" spans="1:22">
      <c r="A101" s="33"/>
      <c r="B101" s="28"/>
      <c r="C101" s="28"/>
      <c r="D101" s="28"/>
      <c r="E101" s="28"/>
      <c r="F101" s="34"/>
      <c r="G101" s="33" t="s">
        <v>82</v>
      </c>
      <c r="H101" s="33"/>
      <c r="I101" s="35"/>
      <c r="J101" s="35"/>
      <c r="K101" s="29" t="str">
        <f t="shared" si="8"/>
        <v/>
      </c>
      <c r="L101" s="30" t="str">
        <f>IF(D101="","",IF(I101&lt;&gt;"",I101,IFERROR(VLOOKUP(K101,'Справочник ролей'!$A$2:$E$20,4,FALSE),0)))</f>
        <v/>
      </c>
      <c r="M101" s="30" t="str">
        <f>IF(D101="","",IF(J101&lt;&gt;"",J101,IFERROR(VLOOKUP(K101,'Справочник ролей'!$A$2:$E$20,5,FALSE),0)))</f>
        <v/>
      </c>
      <c r="N101" s="29" t="str">
        <f>IF(D101="","",IF(G101&lt;&gt;"Авто",G101,IF(Ввод!$B$13&lt;&gt;"Авто",Ввод!$B$13,IFERROR(VLOOKUP(Ввод!$B$5,'Справочник типов'!$A$2:$I$27,9,FALSE),"Всего"))))</f>
        <v/>
      </c>
      <c r="O101" s="31" t="str">
        <f>IF(D101="","",IF(N101="В месяц",MAX(1,SUMIF(Ввод!$G$20:$G$27,"TERM_MONTHS",Ввод!$E$20:$E$27)),IF(N101="На единицу",IF(H101&lt;&gt;"",H101,MAX(1,SUMIF(Ввод!$G$20:$G$27,"QTY",Ввод!$E$20:$E$27))),IF(N101="Ед. × месяц",IF(H101&lt;&gt;"",H101,MAX(1,SUMIF(Ввод!$G$20:$G$27,"QTY",Ввод!$E$20:$E$27)))*MAX(1,SUMIF(Ввод!$G$20:$G$27,"TERM_MONTHS",Ввод!$E$20:$E$27)),1))))</f>
        <v/>
      </c>
      <c r="P101" s="31" t="str">
        <f>IF(D101="","",F101*O101*IF(SUMIF(Ввод!$G$20:$G$27,"COMPLEXITY",Ввод!$E$20:$E$27)=0,1,SUMIF(Ввод!$G$20:$G$27,"COMPLEXITY",Ввод!$E$20:$E$27))*(1+SUMIF(Ввод!$G$20:$G$27,"RISK_PCT",Ввод!$E$20:$E$27)))</f>
        <v/>
      </c>
      <c r="Q101" s="30" t="str">
        <f t="shared" si="9"/>
        <v/>
      </c>
      <c r="R101" s="30" t="str">
        <f t="shared" si="10"/>
        <v/>
      </c>
      <c r="S101" s="32" t="str">
        <f>IF(D101="","",P101/(Ввод!$B$11*IF(SUMIF(Ввод!$G$20:$G$27,"PARALLEL_FTE",Ввод!$E$20:$E$27)=0,1,SUMIF(Ввод!$G$20:$G$27,"PARALLEL_FTE",Ввод!$E$20:$E$27))))</f>
        <v/>
      </c>
      <c r="T101" s="29" t="str">
        <f t="shared" si="11"/>
        <v/>
      </c>
      <c r="U101" s="28"/>
      <c r="V101" s="28"/>
    </row>
    <row r="102" spans="1:22">
      <c r="A102" s="33"/>
      <c r="B102" s="28"/>
      <c r="C102" s="28"/>
      <c r="D102" s="28"/>
      <c r="E102" s="28"/>
      <c r="F102" s="34"/>
      <c r="G102" s="33" t="s">
        <v>82</v>
      </c>
      <c r="H102" s="33"/>
      <c r="I102" s="35"/>
      <c r="J102" s="35"/>
      <c r="K102" s="29" t="str">
        <f t="shared" si="8"/>
        <v/>
      </c>
      <c r="L102" s="30" t="str">
        <f>IF(D102="","",IF(I102&lt;&gt;"",I102,IFERROR(VLOOKUP(K102,'Справочник ролей'!$A$2:$E$20,4,FALSE),0)))</f>
        <v/>
      </c>
      <c r="M102" s="30" t="str">
        <f>IF(D102="","",IF(J102&lt;&gt;"",J102,IFERROR(VLOOKUP(K102,'Справочник ролей'!$A$2:$E$20,5,FALSE),0)))</f>
        <v/>
      </c>
      <c r="N102" s="29" t="str">
        <f>IF(D102="","",IF(G102&lt;&gt;"Авто",G102,IF(Ввод!$B$13&lt;&gt;"Авто",Ввод!$B$13,IFERROR(VLOOKUP(Ввод!$B$5,'Справочник типов'!$A$2:$I$27,9,FALSE),"Всего"))))</f>
        <v/>
      </c>
      <c r="O102" s="31" t="str">
        <f>IF(D102="","",IF(N102="В месяц",MAX(1,SUMIF(Ввод!$G$20:$G$27,"TERM_MONTHS",Ввод!$E$20:$E$27)),IF(N102="На единицу",IF(H102&lt;&gt;"",H102,MAX(1,SUMIF(Ввод!$G$20:$G$27,"QTY",Ввод!$E$20:$E$27))),IF(N102="Ед. × месяц",IF(H102&lt;&gt;"",H102,MAX(1,SUMIF(Ввод!$G$20:$G$27,"QTY",Ввод!$E$20:$E$27)))*MAX(1,SUMIF(Ввод!$G$20:$G$27,"TERM_MONTHS",Ввод!$E$20:$E$27)),1))))</f>
        <v/>
      </c>
      <c r="P102" s="31" t="str">
        <f>IF(D102="","",F102*O102*IF(SUMIF(Ввод!$G$20:$G$27,"COMPLEXITY",Ввод!$E$20:$E$27)=0,1,SUMIF(Ввод!$G$20:$G$27,"COMPLEXITY",Ввод!$E$20:$E$27))*(1+SUMIF(Ввод!$G$20:$G$27,"RISK_PCT",Ввод!$E$20:$E$27)))</f>
        <v/>
      </c>
      <c r="Q102" s="30" t="str">
        <f t="shared" ref="Q102:Q105" si="12">IF(D102="","",P102*L102)</f>
        <v/>
      </c>
      <c r="R102" s="30" t="str">
        <f t="shared" si="10"/>
        <v/>
      </c>
      <c r="S102" s="32" t="str">
        <f>IF(D102="","",P102/(Ввод!$B$11*IF(SUMIF(Ввод!$G$20:$G$27,"PARALLEL_FTE",Ввод!$E$20:$E$27)=0,1,SUMIF(Ввод!$G$20:$G$27,"PARALLEL_FTE",Ввод!$E$20:$E$27))))</f>
        <v/>
      </c>
      <c r="T102" s="29" t="str">
        <f t="shared" si="11"/>
        <v/>
      </c>
      <c r="U102" s="28"/>
      <c r="V102" s="28"/>
    </row>
    <row r="103" spans="1:22">
      <c r="A103" s="33"/>
      <c r="B103" s="28"/>
      <c r="C103" s="28"/>
      <c r="D103" s="28"/>
      <c r="E103" s="28"/>
      <c r="F103" s="34"/>
      <c r="G103" s="33" t="s">
        <v>82</v>
      </c>
      <c r="H103" s="33"/>
      <c r="I103" s="35"/>
      <c r="J103" s="35"/>
      <c r="K103" s="29" t="str">
        <f t="shared" si="8"/>
        <v/>
      </c>
      <c r="L103" s="30" t="str">
        <f>IF(D103="","",IF(I103&lt;&gt;"",I103,IFERROR(VLOOKUP(K103,'Справочник ролей'!$A$2:$E$20,4,FALSE),0)))</f>
        <v/>
      </c>
      <c r="M103" s="30" t="str">
        <f>IF(D103="","",IF(J103&lt;&gt;"",J103,IFERROR(VLOOKUP(K103,'Справочник ролей'!$A$2:$E$20,5,FALSE),0)))</f>
        <v/>
      </c>
      <c r="N103" s="29" t="str">
        <f>IF(D103="","",IF(G103&lt;&gt;"Авто",G103,IF(Ввод!$B$13&lt;&gt;"Авто",Ввод!$B$13,IFERROR(VLOOKUP(Ввод!$B$5,'Справочник типов'!$A$2:$I$27,9,FALSE),"Всего"))))</f>
        <v/>
      </c>
      <c r="O103" s="31" t="str">
        <f>IF(D103="","",IF(N103="В месяц",MAX(1,SUMIF(Ввод!$G$20:$G$27,"TERM_MONTHS",Ввод!$E$20:$E$27)),IF(N103="На единицу",IF(H103&lt;&gt;"",H103,MAX(1,SUMIF(Ввод!$G$20:$G$27,"QTY",Ввод!$E$20:$E$27))),IF(N103="Ед. × месяц",IF(H103&lt;&gt;"",H103,MAX(1,SUMIF(Ввод!$G$20:$G$27,"QTY",Ввод!$E$20:$E$27)))*MAX(1,SUMIF(Ввод!$G$20:$G$27,"TERM_MONTHS",Ввод!$E$20:$E$27)),1))))</f>
        <v/>
      </c>
      <c r="P103" s="31" t="str">
        <f>IF(D103="","",F103*O103*IF(SUMIF(Ввод!$G$20:$G$27,"COMPLEXITY",Ввод!$E$20:$E$27)=0,1,SUMIF(Ввод!$G$20:$G$27,"COMPLEXITY",Ввод!$E$20:$E$27))*(1+SUMIF(Ввод!$G$20:$G$27,"RISK_PCT",Ввод!$E$20:$E$27)))</f>
        <v/>
      </c>
      <c r="Q103" s="30" t="str">
        <f t="shared" si="12"/>
        <v/>
      </c>
      <c r="R103" s="30" t="str">
        <f t="shared" si="10"/>
        <v/>
      </c>
      <c r="S103" s="32" t="str">
        <f>IF(D103="","",P103/(Ввод!$B$11*IF(SUMIF(Ввод!$G$20:$G$27,"PARALLEL_FTE",Ввод!$E$20:$E$27)=0,1,SUMIF(Ввод!$G$20:$G$27,"PARALLEL_FTE",Ввод!$E$20:$E$27))))</f>
        <v/>
      </c>
      <c r="T103" s="29" t="str">
        <f t="shared" si="11"/>
        <v/>
      </c>
      <c r="U103" s="28"/>
      <c r="V103" s="28"/>
    </row>
    <row r="104" spans="1:22">
      <c r="A104" s="33"/>
      <c r="B104" s="28"/>
      <c r="C104" s="28"/>
      <c r="D104" s="28"/>
      <c r="E104" s="28"/>
      <c r="F104" s="34"/>
      <c r="G104" s="33" t="s">
        <v>82</v>
      </c>
      <c r="H104" s="33"/>
      <c r="I104" s="35"/>
      <c r="J104" s="35"/>
      <c r="K104" s="29" t="str">
        <f t="shared" si="8"/>
        <v/>
      </c>
      <c r="L104" s="30" t="str">
        <f>IF(D104="","",IF(I104&lt;&gt;"",I104,IFERROR(VLOOKUP(K104,'Справочник ролей'!$A$2:$E$20,4,FALSE),0)))</f>
        <v/>
      </c>
      <c r="M104" s="30" t="str">
        <f>IF(D104="","",IF(J104&lt;&gt;"",J104,IFERROR(VLOOKUP(K104,'Справочник ролей'!$A$2:$E$20,5,FALSE),0)))</f>
        <v/>
      </c>
      <c r="N104" s="29" t="str">
        <f>IF(D104="","",IF(G104&lt;&gt;"Авто",G104,IF(Ввод!$B$13&lt;&gt;"Авто",Ввод!$B$13,IFERROR(VLOOKUP(Ввод!$B$5,'Справочник типов'!$A$2:$I$27,9,FALSE),"Всего"))))</f>
        <v/>
      </c>
      <c r="O104" s="31" t="str">
        <f>IF(D104="","",IF(N104="В месяц",MAX(1,SUMIF(Ввод!$G$20:$G$27,"TERM_MONTHS",Ввод!$E$20:$E$27)),IF(N104="На единицу",IF(H104&lt;&gt;"",H104,MAX(1,SUMIF(Ввод!$G$20:$G$27,"QTY",Ввод!$E$20:$E$27))),IF(N104="Ед. × месяц",IF(H104&lt;&gt;"",H104,MAX(1,SUMIF(Ввод!$G$20:$G$27,"QTY",Ввод!$E$20:$E$27)))*MAX(1,SUMIF(Ввод!$G$20:$G$27,"TERM_MONTHS",Ввод!$E$20:$E$27)),1))))</f>
        <v/>
      </c>
      <c r="P104" s="31" t="str">
        <f>IF(D104="","",F104*O104*IF(SUMIF(Ввод!$G$20:$G$27,"COMPLEXITY",Ввод!$E$20:$E$27)=0,1,SUMIF(Ввод!$G$20:$G$27,"COMPLEXITY",Ввод!$E$20:$E$27))*(1+SUMIF(Ввод!$G$20:$G$27,"RISK_PCT",Ввод!$E$20:$E$27)))</f>
        <v/>
      </c>
      <c r="Q104" s="30" t="str">
        <f t="shared" si="12"/>
        <v/>
      </c>
      <c r="R104" s="30" t="str">
        <f t="shared" si="10"/>
        <v/>
      </c>
      <c r="S104" s="32" t="str">
        <f>IF(D104="","",P104/(Ввод!$B$11*IF(SUMIF(Ввод!$G$20:$G$27,"PARALLEL_FTE",Ввод!$E$20:$E$27)=0,1,SUMIF(Ввод!$G$20:$G$27,"PARALLEL_FTE",Ввод!$E$20:$E$27))))</f>
        <v/>
      </c>
      <c r="T104" s="29" t="str">
        <f t="shared" si="11"/>
        <v/>
      </c>
      <c r="U104" s="28"/>
      <c r="V104" s="28"/>
    </row>
    <row r="105" spans="1:22">
      <c r="A105" s="33"/>
      <c r="B105" s="28"/>
      <c r="C105" s="28"/>
      <c r="D105" s="28"/>
      <c r="E105" s="28"/>
      <c r="F105" s="34"/>
      <c r="G105" s="33" t="s">
        <v>82</v>
      </c>
      <c r="H105" s="33"/>
      <c r="I105" s="35"/>
      <c r="J105" s="35"/>
      <c r="K105" s="29" t="str">
        <f t="shared" si="8"/>
        <v/>
      </c>
      <c r="L105" s="30" t="str">
        <f>IF(D105="","",IF(I105&lt;&gt;"",I105,IFERROR(VLOOKUP(K105,'Справочник ролей'!$A$2:$E$20,4,FALSE),0)))</f>
        <v/>
      </c>
      <c r="M105" s="30" t="str">
        <f>IF(D105="","",IF(J105&lt;&gt;"",J105,IFERROR(VLOOKUP(K105,'Справочник ролей'!$A$2:$E$20,5,FALSE),0)))</f>
        <v/>
      </c>
      <c r="N105" s="29" t="str">
        <f>IF(D105="","",IF(G105&lt;&gt;"Авто",G105,IF(Ввод!$B$13&lt;&gt;"Авто",Ввод!$B$13,IFERROR(VLOOKUP(Ввод!$B$5,'Справочник типов'!$A$2:$I$27,9,FALSE),"Всего"))))</f>
        <v/>
      </c>
      <c r="O105" s="31" t="str">
        <f>IF(D105="","",IF(N105="В месяц",MAX(1,SUMIF(Ввод!$G$20:$G$27,"TERM_MONTHS",Ввод!$E$20:$E$27)),IF(N105="На единицу",IF(H105&lt;&gt;"",H105,MAX(1,SUMIF(Ввод!$G$20:$G$27,"QTY",Ввод!$E$20:$E$27))),IF(N105="Ед. × месяц",IF(H105&lt;&gt;"",H105,MAX(1,SUMIF(Ввод!$G$20:$G$27,"QTY",Ввод!$E$20:$E$27)))*MAX(1,SUMIF(Ввод!$G$20:$G$27,"TERM_MONTHS",Ввод!$E$20:$E$27)),1))))</f>
        <v/>
      </c>
      <c r="P105" s="31" t="str">
        <f>IF(D105="","",F105*O105*IF(SUMIF(Ввод!$G$20:$G$27,"COMPLEXITY",Ввод!$E$20:$E$27)=0,1,SUMIF(Ввод!$G$20:$G$27,"COMPLEXITY",Ввод!$E$20:$E$27))*(1+SUMIF(Ввод!$G$20:$G$27,"RISK_PCT",Ввод!$E$20:$E$27)))</f>
        <v/>
      </c>
      <c r="Q105" s="30" t="str">
        <f t="shared" si="12"/>
        <v/>
      </c>
      <c r="R105" s="30" t="str">
        <f t="shared" si="10"/>
        <v/>
      </c>
      <c r="S105" s="32" t="str">
        <f>IF(D105="","",P105/(Ввод!$B$11*IF(SUMIF(Ввод!$G$20:$G$27,"PARALLEL_FTE",Ввод!$E$20:$E$27)=0,1,SUMIF(Ввод!$G$20:$G$27,"PARALLEL_FTE",Ввод!$E$20:$E$27))))</f>
        <v/>
      </c>
      <c r="T105" s="29" t="str">
        <f t="shared" si="11"/>
        <v/>
      </c>
      <c r="U105" s="28"/>
      <c r="V105" s="28"/>
    </row>
  </sheetData>
  <mergeCells count="2">
    <mergeCell ref="A1:V1"/>
    <mergeCell ref="A3:V3"/>
  </mergeCells>
  <conditionalFormatting sqref="T6:T105">
    <cfRule type="containsText" dxfId="3" priority="1" operator="containsText" text="ПРОВЕРИТЬ"/>
  </conditionalFormatting>
  <dataValidations count="1">
    <dataValidation type="list" sqref="G6:G105" xr:uid="{00000000-0002-0000-0200-000001000000}">
      <formula1>"Авто,Всего,В месяц,На единицу,Ед. × месяц"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'Справочник ролей'!$C$2:$C$20</xm:f>
          </x14:formula1>
          <xm:sqref>E6:E105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showGridLines="0" workbookViewId="0">
      <selection sqref="A1:K1"/>
    </sheetView>
  </sheetViews>
  <sheetFormatPr defaultRowHeight="13.8"/>
  <cols>
    <col min="1" max="1" width="18" customWidth="1"/>
    <col min="2" max="2" width="42" customWidth="1"/>
    <col min="3" max="3" width="13" customWidth="1"/>
    <col min="4" max="4" width="12" customWidth="1"/>
    <col min="5" max="5" width="22" customWidth="1"/>
    <col min="6" max="6" width="25" customWidth="1"/>
    <col min="7" max="7" width="16" customWidth="1"/>
    <col min="8" max="8" width="13" customWidth="1"/>
    <col min="9" max="9" width="22" customWidth="1"/>
    <col min="10" max="10" width="20" customWidth="1"/>
    <col min="11" max="11" width="40" customWidth="1"/>
  </cols>
  <sheetData>
    <row r="1" spans="1:11" ht="30" customHeight="1">
      <c r="A1" s="43" t="s">
        <v>114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47" t="s">
        <v>115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5.2">
      <c r="A5" s="18" t="s">
        <v>10</v>
      </c>
      <c r="B5" s="18" t="s">
        <v>116</v>
      </c>
      <c r="C5" s="18" t="s">
        <v>117</v>
      </c>
      <c r="D5" s="18" t="s">
        <v>23</v>
      </c>
      <c r="E5" s="18" t="s">
        <v>118</v>
      </c>
      <c r="F5" s="18" t="s">
        <v>119</v>
      </c>
      <c r="G5" s="18" t="s">
        <v>120</v>
      </c>
      <c r="H5" s="18" t="s">
        <v>103</v>
      </c>
      <c r="I5" s="18" t="s">
        <v>121</v>
      </c>
      <c r="J5" s="18" t="s">
        <v>122</v>
      </c>
      <c r="K5" s="18" t="s">
        <v>49</v>
      </c>
    </row>
    <row r="6" spans="1:11">
      <c r="A6" s="33"/>
      <c r="B6" s="28"/>
      <c r="C6" s="33"/>
      <c r="D6" s="33"/>
      <c r="E6" s="35"/>
      <c r="F6" s="35"/>
      <c r="G6" s="33" t="s">
        <v>123</v>
      </c>
      <c r="H6" s="31" t="str">
        <f>IF(B6="","",IF(G6="В месяц",MAX(1,SUMIF(Ввод!$G$20:$G$27,"TERM_MONTHS",Ввод!$E$20:$E$27)),1))</f>
        <v/>
      </c>
      <c r="I6" s="30" t="str">
        <f t="shared" ref="I6:I25" si="0">IF(B6="","",C6*E6*H6)</f>
        <v/>
      </c>
      <c r="J6" s="30" t="str">
        <f>IF(B6="","",IF(F6&lt;&gt;"",C6*F6*H6,IF(IFERROR(VLOOKUP(Ввод!$B$5,'Справочник типов'!$A$2:$J$27,10,FALSE),"По наценке")="По марже",IF(SUMIF(Ввод!$G$20:$G$27,"TARGET_MARGIN",Ввод!$E$20:$E$27)&lt;1,I6/(1-SUMIF(Ввод!$G$20:$G$27,"TARGET_MARGIN",Ввод!$E$20:$E$27)),0),I6*(1+SUMIF(Ввод!$G$20:$G$27,"MARKUP",Ввод!$E$20:$E$27)))))</f>
        <v/>
      </c>
      <c r="K6" s="5"/>
    </row>
    <row r="7" spans="1:11">
      <c r="A7" s="33"/>
      <c r="B7" s="28"/>
      <c r="C7" s="33"/>
      <c r="D7" s="33"/>
      <c r="E7" s="35"/>
      <c r="F7" s="35"/>
      <c r="G7" s="33" t="s">
        <v>123</v>
      </c>
      <c r="H7" s="31" t="str">
        <f>IF(B7="","",IF(G7="В месяц",MAX(1,SUMIF(Ввод!$G$20:$G$27,"TERM_MONTHS",Ввод!$E$20:$E$27)),1))</f>
        <v/>
      </c>
      <c r="I7" s="30" t="str">
        <f t="shared" si="0"/>
        <v/>
      </c>
      <c r="J7" s="30" t="str">
        <f>IF(B7="","",IF(F7&lt;&gt;"",C7*F7*H7,IF(IFERROR(VLOOKUP(Ввод!$B$5,'Справочник типов'!$A$2:$J$27,10,FALSE),"По наценке")="По марже",IF(SUMIF(Ввод!$G$20:$G$27,"TARGET_MARGIN",Ввод!$E$20:$E$27)&lt;1,I7/(1-SUMIF(Ввод!$G$20:$G$27,"TARGET_MARGIN",Ввод!$E$20:$E$27)),0),I7*(1+SUMIF(Ввод!$G$20:$G$27,"MARKUP",Ввод!$E$20:$E$27)))))</f>
        <v/>
      </c>
      <c r="K7" s="5"/>
    </row>
    <row r="8" spans="1:11">
      <c r="A8" s="33"/>
      <c r="B8" s="28"/>
      <c r="C8" s="33"/>
      <c r="D8" s="33"/>
      <c r="E8" s="35"/>
      <c r="F8" s="35"/>
      <c r="G8" s="33" t="s">
        <v>123</v>
      </c>
      <c r="H8" s="31" t="str">
        <f>IF(B8="","",IF(G8="В месяц",MAX(1,SUMIF(Ввод!$G$20:$G$27,"TERM_MONTHS",Ввод!$E$20:$E$27)),1))</f>
        <v/>
      </c>
      <c r="I8" s="30" t="str">
        <f t="shared" si="0"/>
        <v/>
      </c>
      <c r="J8" s="30" t="str">
        <f>IF(B8="","",IF(F8&lt;&gt;"",C8*F8*H8,IF(IFERROR(VLOOKUP(Ввод!$B$5,'Справочник типов'!$A$2:$J$27,10,FALSE),"По наценке")="По марже",IF(SUMIF(Ввод!$G$20:$G$27,"TARGET_MARGIN",Ввод!$E$20:$E$27)&lt;1,I8/(1-SUMIF(Ввод!$G$20:$G$27,"TARGET_MARGIN",Ввод!$E$20:$E$27)),0),I8*(1+SUMIF(Ввод!$G$20:$G$27,"MARKUP",Ввод!$E$20:$E$27)))))</f>
        <v/>
      </c>
      <c r="K8" s="5"/>
    </row>
    <row r="9" spans="1:11">
      <c r="A9" s="33"/>
      <c r="B9" s="28"/>
      <c r="C9" s="33"/>
      <c r="D9" s="33"/>
      <c r="E9" s="35"/>
      <c r="F9" s="35"/>
      <c r="G9" s="33" t="s">
        <v>123</v>
      </c>
      <c r="H9" s="31" t="str">
        <f>IF(B9="","",IF(G9="В месяц",MAX(1,SUMIF(Ввод!$G$20:$G$27,"TERM_MONTHS",Ввод!$E$20:$E$27)),1))</f>
        <v/>
      </c>
      <c r="I9" s="30" t="str">
        <f t="shared" si="0"/>
        <v/>
      </c>
      <c r="J9" s="30" t="str">
        <f>IF(B9="","",IF(F9&lt;&gt;"",C9*F9*H9,IF(IFERROR(VLOOKUP(Ввод!$B$5,'Справочник типов'!$A$2:$J$27,10,FALSE),"По наценке")="По марже",IF(SUMIF(Ввод!$G$20:$G$27,"TARGET_MARGIN",Ввод!$E$20:$E$27)&lt;1,I9/(1-SUMIF(Ввод!$G$20:$G$27,"TARGET_MARGIN",Ввод!$E$20:$E$27)),0),I9*(1+SUMIF(Ввод!$G$20:$G$27,"MARKUP",Ввод!$E$20:$E$27)))))</f>
        <v/>
      </c>
      <c r="K9" s="5"/>
    </row>
    <row r="10" spans="1:11">
      <c r="A10" s="33"/>
      <c r="B10" s="28"/>
      <c r="C10" s="33"/>
      <c r="D10" s="33"/>
      <c r="E10" s="35"/>
      <c r="F10" s="35"/>
      <c r="G10" s="33" t="s">
        <v>123</v>
      </c>
      <c r="H10" s="31" t="str">
        <f>IF(B10="","",IF(G10="В месяц",MAX(1,SUMIF(Ввод!$G$20:$G$27,"TERM_MONTHS",Ввод!$E$20:$E$27)),1))</f>
        <v/>
      </c>
      <c r="I10" s="30" t="str">
        <f t="shared" si="0"/>
        <v/>
      </c>
      <c r="J10" s="30" t="str">
        <f>IF(B10="","",IF(F10&lt;&gt;"",C10*F10*H10,IF(IFERROR(VLOOKUP(Ввод!$B$5,'Справочник типов'!$A$2:$J$27,10,FALSE),"По наценке")="По марже",IF(SUMIF(Ввод!$G$20:$G$27,"TARGET_MARGIN",Ввод!$E$20:$E$27)&lt;1,I10/(1-SUMIF(Ввод!$G$20:$G$27,"TARGET_MARGIN",Ввод!$E$20:$E$27)),0),I10*(1+SUMIF(Ввод!$G$20:$G$27,"MARKUP",Ввод!$E$20:$E$27)))))</f>
        <v/>
      </c>
      <c r="K10" s="5"/>
    </row>
    <row r="11" spans="1:11">
      <c r="A11" s="33"/>
      <c r="B11" s="28"/>
      <c r="C11" s="33"/>
      <c r="D11" s="33"/>
      <c r="E11" s="35"/>
      <c r="F11" s="35"/>
      <c r="G11" s="33" t="s">
        <v>123</v>
      </c>
      <c r="H11" s="31" t="str">
        <f>IF(B11="","",IF(G11="В месяц",MAX(1,SUMIF(Ввод!$G$20:$G$27,"TERM_MONTHS",Ввод!$E$20:$E$27)),1))</f>
        <v/>
      </c>
      <c r="I11" s="30" t="str">
        <f t="shared" si="0"/>
        <v/>
      </c>
      <c r="J11" s="30" t="str">
        <f>IF(B11="","",IF(F11&lt;&gt;"",C11*F11*H11,IF(IFERROR(VLOOKUP(Ввод!$B$5,'Справочник типов'!$A$2:$J$27,10,FALSE),"По наценке")="По марже",IF(SUMIF(Ввод!$G$20:$G$27,"TARGET_MARGIN",Ввод!$E$20:$E$27)&lt;1,I11/(1-SUMIF(Ввод!$G$20:$G$27,"TARGET_MARGIN",Ввод!$E$20:$E$27)),0),I11*(1+SUMIF(Ввод!$G$20:$G$27,"MARKUP",Ввод!$E$20:$E$27)))))</f>
        <v/>
      </c>
      <c r="K11" s="5"/>
    </row>
    <row r="12" spans="1:11">
      <c r="A12" s="33"/>
      <c r="B12" s="28"/>
      <c r="C12" s="33"/>
      <c r="D12" s="33"/>
      <c r="E12" s="35"/>
      <c r="F12" s="35"/>
      <c r="G12" s="33" t="s">
        <v>123</v>
      </c>
      <c r="H12" s="31" t="str">
        <f>IF(B12="","",IF(G12="В месяц",MAX(1,SUMIF(Ввод!$G$20:$G$27,"TERM_MONTHS",Ввод!$E$20:$E$27)),1))</f>
        <v/>
      </c>
      <c r="I12" s="30" t="str">
        <f t="shared" si="0"/>
        <v/>
      </c>
      <c r="J12" s="30" t="str">
        <f>IF(B12="","",IF(F12&lt;&gt;"",C12*F12*H12,IF(IFERROR(VLOOKUP(Ввод!$B$5,'Справочник типов'!$A$2:$J$27,10,FALSE),"По наценке")="По марже",IF(SUMIF(Ввод!$G$20:$G$27,"TARGET_MARGIN",Ввод!$E$20:$E$27)&lt;1,I12/(1-SUMIF(Ввод!$G$20:$G$27,"TARGET_MARGIN",Ввод!$E$20:$E$27)),0),I12*(1+SUMIF(Ввод!$G$20:$G$27,"MARKUP",Ввод!$E$20:$E$27)))))</f>
        <v/>
      </c>
      <c r="K12" s="5"/>
    </row>
    <row r="13" spans="1:11">
      <c r="A13" s="33"/>
      <c r="B13" s="28"/>
      <c r="C13" s="33"/>
      <c r="D13" s="33"/>
      <c r="E13" s="35"/>
      <c r="F13" s="35"/>
      <c r="G13" s="33" t="s">
        <v>123</v>
      </c>
      <c r="H13" s="31" t="str">
        <f>IF(B13="","",IF(G13="В месяц",MAX(1,SUMIF(Ввод!$G$20:$G$27,"TERM_MONTHS",Ввод!$E$20:$E$27)),1))</f>
        <v/>
      </c>
      <c r="I13" s="30" t="str">
        <f t="shared" si="0"/>
        <v/>
      </c>
      <c r="J13" s="30" t="str">
        <f>IF(B13="","",IF(F13&lt;&gt;"",C13*F13*H13,IF(IFERROR(VLOOKUP(Ввод!$B$5,'Справочник типов'!$A$2:$J$27,10,FALSE),"По наценке")="По марже",IF(SUMIF(Ввод!$G$20:$G$27,"TARGET_MARGIN",Ввод!$E$20:$E$27)&lt;1,I13/(1-SUMIF(Ввод!$G$20:$G$27,"TARGET_MARGIN",Ввод!$E$20:$E$27)),0),I13*(1+SUMIF(Ввод!$G$20:$G$27,"MARKUP",Ввод!$E$20:$E$27)))))</f>
        <v/>
      </c>
      <c r="K13" s="5"/>
    </row>
    <row r="14" spans="1:11">
      <c r="A14" s="33"/>
      <c r="B14" s="28"/>
      <c r="C14" s="33"/>
      <c r="D14" s="33"/>
      <c r="E14" s="35"/>
      <c r="F14" s="35"/>
      <c r="G14" s="33" t="s">
        <v>123</v>
      </c>
      <c r="H14" s="31" t="str">
        <f>IF(B14="","",IF(G14="В месяц",MAX(1,SUMIF(Ввод!$G$20:$G$27,"TERM_MONTHS",Ввод!$E$20:$E$27)),1))</f>
        <v/>
      </c>
      <c r="I14" s="30" t="str">
        <f t="shared" si="0"/>
        <v/>
      </c>
      <c r="J14" s="30" t="str">
        <f>IF(B14="","",IF(F14&lt;&gt;"",C14*F14*H14,IF(IFERROR(VLOOKUP(Ввод!$B$5,'Справочник типов'!$A$2:$J$27,10,FALSE),"По наценке")="По марже",IF(SUMIF(Ввод!$G$20:$G$27,"TARGET_MARGIN",Ввод!$E$20:$E$27)&lt;1,I14/(1-SUMIF(Ввод!$G$20:$G$27,"TARGET_MARGIN",Ввод!$E$20:$E$27)),0),I14*(1+SUMIF(Ввод!$G$20:$G$27,"MARKUP",Ввод!$E$20:$E$27)))))</f>
        <v/>
      </c>
      <c r="K14" s="5"/>
    </row>
    <row r="15" spans="1:11">
      <c r="A15" s="33"/>
      <c r="B15" s="28"/>
      <c r="C15" s="33"/>
      <c r="D15" s="33"/>
      <c r="E15" s="35"/>
      <c r="F15" s="35"/>
      <c r="G15" s="33" t="s">
        <v>123</v>
      </c>
      <c r="H15" s="31" t="str">
        <f>IF(B15="","",IF(G15="В месяц",MAX(1,SUMIF(Ввод!$G$20:$G$27,"TERM_MONTHS",Ввод!$E$20:$E$27)),1))</f>
        <v/>
      </c>
      <c r="I15" s="30" t="str">
        <f t="shared" si="0"/>
        <v/>
      </c>
      <c r="J15" s="30" t="str">
        <f>IF(B15="","",IF(F15&lt;&gt;"",C15*F15*H15,IF(IFERROR(VLOOKUP(Ввод!$B$5,'Справочник типов'!$A$2:$J$27,10,FALSE),"По наценке")="По марже",IF(SUMIF(Ввод!$G$20:$G$27,"TARGET_MARGIN",Ввод!$E$20:$E$27)&lt;1,I15/(1-SUMIF(Ввод!$G$20:$G$27,"TARGET_MARGIN",Ввод!$E$20:$E$27)),0),I15*(1+SUMIF(Ввод!$G$20:$G$27,"MARKUP",Ввод!$E$20:$E$27)))))</f>
        <v/>
      </c>
      <c r="K15" s="5"/>
    </row>
    <row r="16" spans="1:11">
      <c r="A16" s="33"/>
      <c r="B16" s="28"/>
      <c r="C16" s="33"/>
      <c r="D16" s="33"/>
      <c r="E16" s="35"/>
      <c r="F16" s="35"/>
      <c r="G16" s="33" t="s">
        <v>123</v>
      </c>
      <c r="H16" s="31" t="str">
        <f>IF(B16="","",IF(G16="В месяц",MAX(1,SUMIF(Ввод!$G$20:$G$27,"TERM_MONTHS",Ввод!$E$20:$E$27)),1))</f>
        <v/>
      </c>
      <c r="I16" s="30" t="str">
        <f t="shared" si="0"/>
        <v/>
      </c>
      <c r="J16" s="30" t="str">
        <f>IF(B16="","",IF(F16&lt;&gt;"",C16*F16*H16,IF(IFERROR(VLOOKUP(Ввод!$B$5,'Справочник типов'!$A$2:$J$27,10,FALSE),"По наценке")="По марже",IF(SUMIF(Ввод!$G$20:$G$27,"TARGET_MARGIN",Ввод!$E$20:$E$27)&lt;1,I16/(1-SUMIF(Ввод!$G$20:$G$27,"TARGET_MARGIN",Ввод!$E$20:$E$27)),0),I16*(1+SUMIF(Ввод!$G$20:$G$27,"MARKUP",Ввод!$E$20:$E$27)))))</f>
        <v/>
      </c>
      <c r="K16" s="5"/>
    </row>
    <row r="17" spans="1:11">
      <c r="A17" s="33"/>
      <c r="B17" s="28"/>
      <c r="C17" s="33"/>
      <c r="D17" s="33"/>
      <c r="E17" s="35"/>
      <c r="F17" s="35"/>
      <c r="G17" s="33" t="s">
        <v>123</v>
      </c>
      <c r="H17" s="31" t="str">
        <f>IF(B17="","",IF(G17="В месяц",MAX(1,SUMIF(Ввод!$G$20:$G$27,"TERM_MONTHS",Ввод!$E$20:$E$27)),1))</f>
        <v/>
      </c>
      <c r="I17" s="30" t="str">
        <f t="shared" si="0"/>
        <v/>
      </c>
      <c r="J17" s="30" t="str">
        <f>IF(B17="","",IF(F17&lt;&gt;"",C17*F17*H17,IF(IFERROR(VLOOKUP(Ввод!$B$5,'Справочник типов'!$A$2:$J$27,10,FALSE),"По наценке")="По марже",IF(SUMIF(Ввод!$G$20:$G$27,"TARGET_MARGIN",Ввод!$E$20:$E$27)&lt;1,I17/(1-SUMIF(Ввод!$G$20:$G$27,"TARGET_MARGIN",Ввод!$E$20:$E$27)),0),I17*(1+SUMIF(Ввод!$G$20:$G$27,"MARKUP",Ввод!$E$20:$E$27)))))</f>
        <v/>
      </c>
      <c r="K17" s="5"/>
    </row>
    <row r="18" spans="1:11">
      <c r="A18" s="33"/>
      <c r="B18" s="28"/>
      <c r="C18" s="33"/>
      <c r="D18" s="33"/>
      <c r="E18" s="35"/>
      <c r="F18" s="35"/>
      <c r="G18" s="33" t="s">
        <v>123</v>
      </c>
      <c r="H18" s="31" t="str">
        <f>IF(B18="","",IF(G18="В месяц",MAX(1,SUMIF(Ввод!$G$20:$G$27,"TERM_MONTHS",Ввод!$E$20:$E$27)),1))</f>
        <v/>
      </c>
      <c r="I18" s="30" t="str">
        <f t="shared" si="0"/>
        <v/>
      </c>
      <c r="J18" s="30" t="str">
        <f>IF(B18="","",IF(F18&lt;&gt;"",C18*F18*H18,IF(IFERROR(VLOOKUP(Ввод!$B$5,'Справочник типов'!$A$2:$J$27,10,FALSE),"По наценке")="По марже",IF(SUMIF(Ввод!$G$20:$G$27,"TARGET_MARGIN",Ввод!$E$20:$E$27)&lt;1,I18/(1-SUMIF(Ввод!$G$20:$G$27,"TARGET_MARGIN",Ввод!$E$20:$E$27)),0),I18*(1+SUMIF(Ввод!$G$20:$G$27,"MARKUP",Ввод!$E$20:$E$27)))))</f>
        <v/>
      </c>
      <c r="K18" s="5"/>
    </row>
    <row r="19" spans="1:11">
      <c r="A19" s="33"/>
      <c r="B19" s="28"/>
      <c r="C19" s="33"/>
      <c r="D19" s="33"/>
      <c r="E19" s="35"/>
      <c r="F19" s="35"/>
      <c r="G19" s="33" t="s">
        <v>123</v>
      </c>
      <c r="H19" s="31" t="str">
        <f>IF(B19="","",IF(G19="В месяц",MAX(1,SUMIF(Ввод!$G$20:$G$27,"TERM_MONTHS",Ввод!$E$20:$E$27)),1))</f>
        <v/>
      </c>
      <c r="I19" s="30" t="str">
        <f t="shared" si="0"/>
        <v/>
      </c>
      <c r="J19" s="30" t="str">
        <f>IF(B19="","",IF(F19&lt;&gt;"",C19*F19*H19,IF(IFERROR(VLOOKUP(Ввод!$B$5,'Справочник типов'!$A$2:$J$27,10,FALSE),"По наценке")="По марже",IF(SUMIF(Ввод!$G$20:$G$27,"TARGET_MARGIN",Ввод!$E$20:$E$27)&lt;1,I19/(1-SUMIF(Ввод!$G$20:$G$27,"TARGET_MARGIN",Ввод!$E$20:$E$27)),0),I19*(1+SUMIF(Ввод!$G$20:$G$27,"MARKUP",Ввод!$E$20:$E$27)))))</f>
        <v/>
      </c>
      <c r="K19" s="5"/>
    </row>
    <row r="20" spans="1:11">
      <c r="A20" s="33"/>
      <c r="B20" s="28"/>
      <c r="C20" s="33"/>
      <c r="D20" s="33"/>
      <c r="E20" s="35"/>
      <c r="F20" s="35"/>
      <c r="G20" s="33" t="s">
        <v>123</v>
      </c>
      <c r="H20" s="31" t="str">
        <f>IF(B20="","",IF(G20="В месяц",MAX(1,SUMIF(Ввод!$G$20:$G$27,"TERM_MONTHS",Ввод!$E$20:$E$27)),1))</f>
        <v/>
      </c>
      <c r="I20" s="30" t="str">
        <f t="shared" si="0"/>
        <v/>
      </c>
      <c r="J20" s="30" t="str">
        <f>IF(B20="","",IF(F20&lt;&gt;"",C20*F20*H20,IF(IFERROR(VLOOKUP(Ввод!$B$5,'Справочник типов'!$A$2:$J$27,10,FALSE),"По наценке")="По марже",IF(SUMIF(Ввод!$G$20:$G$27,"TARGET_MARGIN",Ввод!$E$20:$E$27)&lt;1,I20/(1-SUMIF(Ввод!$G$20:$G$27,"TARGET_MARGIN",Ввод!$E$20:$E$27)),0),I20*(1+SUMIF(Ввод!$G$20:$G$27,"MARKUP",Ввод!$E$20:$E$27)))))</f>
        <v/>
      </c>
      <c r="K20" s="5"/>
    </row>
    <row r="21" spans="1:11">
      <c r="A21" s="33"/>
      <c r="B21" s="28"/>
      <c r="C21" s="33"/>
      <c r="D21" s="33"/>
      <c r="E21" s="35"/>
      <c r="F21" s="35"/>
      <c r="G21" s="33" t="s">
        <v>123</v>
      </c>
      <c r="H21" s="31" t="str">
        <f>IF(B21="","",IF(G21="В месяц",MAX(1,SUMIF(Ввод!$G$20:$G$27,"TERM_MONTHS",Ввод!$E$20:$E$27)),1))</f>
        <v/>
      </c>
      <c r="I21" s="30" t="str">
        <f t="shared" si="0"/>
        <v/>
      </c>
      <c r="J21" s="30" t="str">
        <f>IF(B21="","",IF(F21&lt;&gt;"",C21*F21*H21,IF(IFERROR(VLOOKUP(Ввод!$B$5,'Справочник типов'!$A$2:$J$27,10,FALSE),"По наценке")="По марже",IF(SUMIF(Ввод!$G$20:$G$27,"TARGET_MARGIN",Ввод!$E$20:$E$27)&lt;1,I21/(1-SUMIF(Ввод!$G$20:$G$27,"TARGET_MARGIN",Ввод!$E$20:$E$27)),0),I21*(1+SUMIF(Ввод!$G$20:$G$27,"MARKUP",Ввод!$E$20:$E$27)))))</f>
        <v/>
      </c>
      <c r="K21" s="5"/>
    </row>
    <row r="22" spans="1:11">
      <c r="A22" s="33"/>
      <c r="B22" s="28"/>
      <c r="C22" s="33"/>
      <c r="D22" s="33"/>
      <c r="E22" s="35"/>
      <c r="F22" s="35"/>
      <c r="G22" s="33" t="s">
        <v>123</v>
      </c>
      <c r="H22" s="31" t="str">
        <f>IF(B22="","",IF(G22="В месяц",MAX(1,SUMIF(Ввод!$G$20:$G$27,"TERM_MONTHS",Ввод!$E$20:$E$27)),1))</f>
        <v/>
      </c>
      <c r="I22" s="30" t="str">
        <f t="shared" si="0"/>
        <v/>
      </c>
      <c r="J22" s="30" t="str">
        <f>IF(B22="","",IF(F22&lt;&gt;"",C22*F22*H22,IF(IFERROR(VLOOKUP(Ввод!$B$5,'Справочник типов'!$A$2:$J$27,10,FALSE),"По наценке")="По марже",IF(SUMIF(Ввод!$G$20:$G$27,"TARGET_MARGIN",Ввод!$E$20:$E$27)&lt;1,I22/(1-SUMIF(Ввод!$G$20:$G$27,"TARGET_MARGIN",Ввод!$E$20:$E$27)),0),I22*(1+SUMIF(Ввод!$G$20:$G$27,"MARKUP",Ввод!$E$20:$E$27)))))</f>
        <v/>
      </c>
      <c r="K22" s="5"/>
    </row>
    <row r="23" spans="1:11">
      <c r="A23" s="33"/>
      <c r="B23" s="28"/>
      <c r="C23" s="33"/>
      <c r="D23" s="33"/>
      <c r="E23" s="35"/>
      <c r="F23" s="35"/>
      <c r="G23" s="33" t="s">
        <v>123</v>
      </c>
      <c r="H23" s="31" t="str">
        <f>IF(B23="","",IF(G23="В месяц",MAX(1,SUMIF(Ввод!$G$20:$G$27,"TERM_MONTHS",Ввод!$E$20:$E$27)),1))</f>
        <v/>
      </c>
      <c r="I23" s="30" t="str">
        <f t="shared" si="0"/>
        <v/>
      </c>
      <c r="J23" s="30" t="str">
        <f>IF(B23="","",IF(F23&lt;&gt;"",C23*F23*H23,IF(IFERROR(VLOOKUP(Ввод!$B$5,'Справочник типов'!$A$2:$J$27,10,FALSE),"По наценке")="По марже",IF(SUMIF(Ввод!$G$20:$G$27,"TARGET_MARGIN",Ввод!$E$20:$E$27)&lt;1,I23/(1-SUMIF(Ввод!$G$20:$G$27,"TARGET_MARGIN",Ввод!$E$20:$E$27)),0),I23*(1+SUMIF(Ввод!$G$20:$G$27,"MARKUP",Ввод!$E$20:$E$27)))))</f>
        <v/>
      </c>
      <c r="K23" s="5"/>
    </row>
    <row r="24" spans="1:11">
      <c r="A24" s="33"/>
      <c r="B24" s="28"/>
      <c r="C24" s="33"/>
      <c r="D24" s="33"/>
      <c r="E24" s="35"/>
      <c r="F24" s="35"/>
      <c r="G24" s="33" t="s">
        <v>123</v>
      </c>
      <c r="H24" s="31" t="str">
        <f>IF(B24="","",IF(G24="В месяц",MAX(1,SUMIF(Ввод!$G$20:$G$27,"TERM_MONTHS",Ввод!$E$20:$E$27)),1))</f>
        <v/>
      </c>
      <c r="I24" s="30" t="str">
        <f t="shared" si="0"/>
        <v/>
      </c>
      <c r="J24" s="30" t="str">
        <f>IF(B24="","",IF(F24&lt;&gt;"",C24*F24*H24,IF(IFERROR(VLOOKUP(Ввод!$B$5,'Справочник типов'!$A$2:$J$27,10,FALSE),"По наценке")="По марже",IF(SUMIF(Ввод!$G$20:$G$27,"TARGET_MARGIN",Ввод!$E$20:$E$27)&lt;1,I24/(1-SUMIF(Ввод!$G$20:$G$27,"TARGET_MARGIN",Ввод!$E$20:$E$27)),0),I24*(1+SUMIF(Ввод!$G$20:$G$27,"MARKUP",Ввод!$E$20:$E$27)))))</f>
        <v/>
      </c>
      <c r="K24" s="5"/>
    </row>
    <row r="25" spans="1:11">
      <c r="A25" s="33"/>
      <c r="B25" s="28"/>
      <c r="C25" s="33"/>
      <c r="D25" s="33"/>
      <c r="E25" s="35"/>
      <c r="F25" s="35"/>
      <c r="G25" s="33" t="s">
        <v>123</v>
      </c>
      <c r="H25" s="31" t="str">
        <f>IF(B25="","",IF(G25="В месяц",MAX(1,SUMIF(Ввод!$G$20:$G$27,"TERM_MONTHS",Ввод!$E$20:$E$27)),1))</f>
        <v/>
      </c>
      <c r="I25" s="30" t="str">
        <f t="shared" si="0"/>
        <v/>
      </c>
      <c r="J25" s="30" t="str">
        <f>IF(B25="","",IF(F25&lt;&gt;"",C25*F25*H25,IF(IFERROR(VLOOKUP(Ввод!$B$5,'Справочник типов'!$A$2:$J$27,10,FALSE),"По наценке")="По марже",IF(SUMIF(Ввод!$G$20:$G$27,"TARGET_MARGIN",Ввод!$E$20:$E$27)&lt;1,I25/(1-SUMIF(Ввод!$G$20:$G$27,"TARGET_MARGIN",Ввод!$E$20:$E$27)),0),I25*(1+SUMIF(Ввод!$G$20:$G$27,"MARKUP",Ввод!$E$20:$E$27)))))</f>
        <v/>
      </c>
      <c r="K25" s="5"/>
    </row>
  </sheetData>
  <mergeCells count="2">
    <mergeCell ref="A1:K1"/>
    <mergeCell ref="A3:K3"/>
  </mergeCells>
  <dataValidations count="2">
    <dataValidation type="list" sqref="A6:A25" xr:uid="{00000000-0002-0000-0300-000000000000}">
      <formula1>"Оборудование,ПО,Лицензии,Облако,Подряд,Логистика,Командировки,Прочее"</formula1>
    </dataValidation>
    <dataValidation type="list" sqref="G6:G25" xr:uid="{00000000-0002-0000-0300-000001000000}">
      <formula1>"Разово,В месяц"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/>
  </sheetViews>
  <sheetFormatPr defaultRowHeight="13.8"/>
  <cols>
    <col min="1" max="1" width="24" customWidth="1"/>
    <col min="2" max="2" width="12" customWidth="1"/>
    <col min="3" max="3" width="30" customWidth="1"/>
    <col min="4" max="4" width="48" customWidth="1"/>
    <col min="5" max="5" width="18" customWidth="1"/>
    <col min="6" max="6" width="16" customWidth="1"/>
    <col min="7" max="7" width="18" customWidth="1"/>
    <col min="8" max="10" width="22" customWidth="1"/>
  </cols>
  <sheetData>
    <row r="1" spans="1:10" ht="25.2">
      <c r="A1" s="18" t="s">
        <v>126</v>
      </c>
      <c r="B1" s="18" t="s">
        <v>12</v>
      </c>
      <c r="C1" s="18" t="s">
        <v>9</v>
      </c>
      <c r="D1" s="18" t="s">
        <v>116</v>
      </c>
      <c r="E1" s="18" t="s">
        <v>10</v>
      </c>
      <c r="F1" s="18" t="s">
        <v>77</v>
      </c>
      <c r="G1" s="18" t="s">
        <v>13</v>
      </c>
      <c r="H1" s="18" t="s">
        <v>15</v>
      </c>
      <c r="I1" s="18" t="s">
        <v>127</v>
      </c>
      <c r="J1" s="18" t="s">
        <v>128</v>
      </c>
    </row>
    <row r="2" spans="1:10">
      <c r="A2" s="5" t="s">
        <v>130</v>
      </c>
      <c r="B2" s="5" t="s">
        <v>131</v>
      </c>
      <c r="C2" s="5" t="s">
        <v>132</v>
      </c>
      <c r="D2" s="5" t="s">
        <v>133</v>
      </c>
      <c r="E2" s="5" t="s">
        <v>134</v>
      </c>
      <c r="F2" s="11">
        <v>12</v>
      </c>
      <c r="G2" s="5" t="s">
        <v>135</v>
      </c>
      <c r="H2" s="5" t="s">
        <v>136</v>
      </c>
      <c r="I2" s="5" t="s">
        <v>125</v>
      </c>
      <c r="J2" s="5" t="s">
        <v>137</v>
      </c>
    </row>
    <row r="3" spans="1:10">
      <c r="A3" s="5" t="s">
        <v>138</v>
      </c>
      <c r="B3" s="5" t="s">
        <v>131</v>
      </c>
      <c r="C3" s="5" t="s">
        <v>139</v>
      </c>
      <c r="D3" s="5" t="s">
        <v>140</v>
      </c>
      <c r="E3" s="5" t="s">
        <v>134</v>
      </c>
      <c r="F3" s="11">
        <v>6</v>
      </c>
      <c r="G3" s="5" t="s">
        <v>141</v>
      </c>
      <c r="H3" s="5" t="s">
        <v>136</v>
      </c>
      <c r="I3" s="5" t="s">
        <v>125</v>
      </c>
      <c r="J3" s="5" t="s">
        <v>137</v>
      </c>
    </row>
    <row r="4" spans="1:10" ht="25.2">
      <c r="A4" s="5" t="s">
        <v>142</v>
      </c>
      <c r="B4" s="5" t="s">
        <v>131</v>
      </c>
      <c r="C4" s="5" t="s">
        <v>143</v>
      </c>
      <c r="D4" s="5" t="s">
        <v>144</v>
      </c>
      <c r="E4" s="5" t="s">
        <v>134</v>
      </c>
      <c r="F4" s="11">
        <v>12</v>
      </c>
      <c r="G4" s="5" t="s">
        <v>135</v>
      </c>
      <c r="H4" s="5" t="s">
        <v>136</v>
      </c>
      <c r="I4" s="5" t="s">
        <v>125</v>
      </c>
      <c r="J4" s="5" t="s">
        <v>137</v>
      </c>
    </row>
    <row r="5" spans="1:10" ht="25.2">
      <c r="A5" s="5" t="s">
        <v>145</v>
      </c>
      <c r="B5" s="5" t="s">
        <v>131</v>
      </c>
      <c r="C5" s="5" t="s">
        <v>146</v>
      </c>
      <c r="D5" s="5" t="s">
        <v>147</v>
      </c>
      <c r="E5" s="5" t="s">
        <v>134</v>
      </c>
      <c r="F5" s="11">
        <v>12</v>
      </c>
      <c r="G5" s="5" t="s">
        <v>135</v>
      </c>
      <c r="H5" s="5" t="s">
        <v>136</v>
      </c>
      <c r="I5" s="5" t="s">
        <v>125</v>
      </c>
      <c r="J5" s="5" t="s">
        <v>137</v>
      </c>
    </row>
    <row r="6" spans="1:10" ht="25.2">
      <c r="A6" s="5" t="s">
        <v>148</v>
      </c>
      <c r="B6" s="5" t="s">
        <v>131</v>
      </c>
      <c r="C6" s="5" t="s">
        <v>149</v>
      </c>
      <c r="D6" s="5" t="s">
        <v>150</v>
      </c>
      <c r="E6" s="5" t="s">
        <v>134</v>
      </c>
      <c r="F6" s="11">
        <v>12</v>
      </c>
      <c r="G6" s="5" t="s">
        <v>135</v>
      </c>
      <c r="H6" s="5" t="s">
        <v>136</v>
      </c>
      <c r="I6" s="5" t="s">
        <v>125</v>
      </c>
      <c r="J6" s="5" t="s">
        <v>137</v>
      </c>
    </row>
    <row r="7" spans="1:10" ht="25.2">
      <c r="A7" s="5" t="s">
        <v>151</v>
      </c>
      <c r="B7" s="5" t="s">
        <v>131</v>
      </c>
      <c r="C7" s="5" t="s">
        <v>152</v>
      </c>
      <c r="D7" s="5" t="s">
        <v>153</v>
      </c>
      <c r="E7" s="5" t="s">
        <v>134</v>
      </c>
      <c r="F7" s="11">
        <v>12</v>
      </c>
      <c r="G7" s="5" t="s">
        <v>135</v>
      </c>
      <c r="H7" s="5" t="s">
        <v>154</v>
      </c>
      <c r="I7" s="5" t="s">
        <v>125</v>
      </c>
      <c r="J7" s="5" t="s">
        <v>155</v>
      </c>
    </row>
    <row r="8" spans="1:10">
      <c r="A8" s="5" t="s">
        <v>156</v>
      </c>
      <c r="B8" s="5" t="s">
        <v>131</v>
      </c>
      <c r="C8" s="5" t="s">
        <v>157</v>
      </c>
      <c r="D8" s="5" t="s">
        <v>158</v>
      </c>
      <c r="E8" s="5" t="s">
        <v>134</v>
      </c>
      <c r="F8" s="11">
        <v>3</v>
      </c>
      <c r="G8" s="5" t="s">
        <v>141</v>
      </c>
      <c r="H8" s="5" t="s">
        <v>159</v>
      </c>
      <c r="I8" s="5" t="s">
        <v>160</v>
      </c>
      <c r="J8" s="5" t="s">
        <v>137</v>
      </c>
    </row>
    <row r="9" spans="1:10" ht="25.2">
      <c r="A9" s="5" t="s">
        <v>161</v>
      </c>
      <c r="B9" s="5" t="s">
        <v>131</v>
      </c>
      <c r="C9" s="5" t="s">
        <v>162</v>
      </c>
      <c r="D9" s="5" t="s">
        <v>163</v>
      </c>
      <c r="E9" s="5" t="s">
        <v>134</v>
      </c>
      <c r="F9" s="11">
        <v>3</v>
      </c>
      <c r="G9" s="5" t="s">
        <v>141</v>
      </c>
      <c r="H9" s="5" t="s">
        <v>164</v>
      </c>
      <c r="I9" s="5" t="s">
        <v>160</v>
      </c>
      <c r="J9" s="5" t="s">
        <v>137</v>
      </c>
    </row>
    <row r="10" spans="1:10" ht="25.2">
      <c r="A10" s="5" t="s">
        <v>71</v>
      </c>
      <c r="B10" s="5" t="s">
        <v>131</v>
      </c>
      <c r="C10" s="5" t="s">
        <v>165</v>
      </c>
      <c r="D10" s="5" t="s">
        <v>166</v>
      </c>
      <c r="E10" s="5" t="s">
        <v>134</v>
      </c>
      <c r="F10" s="11">
        <v>3</v>
      </c>
      <c r="G10" s="5" t="s">
        <v>141</v>
      </c>
      <c r="H10" s="5" t="s">
        <v>167</v>
      </c>
      <c r="I10" s="5" t="s">
        <v>160</v>
      </c>
      <c r="J10" s="5" t="s">
        <v>137</v>
      </c>
    </row>
    <row r="11" spans="1:10" ht="25.2">
      <c r="A11" s="5" t="s">
        <v>168</v>
      </c>
      <c r="B11" s="5" t="s">
        <v>131</v>
      </c>
      <c r="C11" s="5" t="s">
        <v>169</v>
      </c>
      <c r="D11" s="5" t="s">
        <v>170</v>
      </c>
      <c r="E11" s="5" t="s">
        <v>134</v>
      </c>
      <c r="F11" s="11">
        <v>3</v>
      </c>
      <c r="G11" s="5" t="s">
        <v>141</v>
      </c>
      <c r="H11" s="5" t="s">
        <v>164</v>
      </c>
      <c r="I11" s="5" t="s">
        <v>160</v>
      </c>
      <c r="J11" s="5" t="s">
        <v>137</v>
      </c>
    </row>
    <row r="12" spans="1:10">
      <c r="A12" s="5" t="s">
        <v>171</v>
      </c>
      <c r="B12" s="5" t="s">
        <v>131</v>
      </c>
      <c r="C12" s="5" t="s">
        <v>172</v>
      </c>
      <c r="D12" s="5" t="s">
        <v>173</v>
      </c>
      <c r="E12" s="5" t="s">
        <v>174</v>
      </c>
      <c r="F12" s="11">
        <v>12</v>
      </c>
      <c r="G12" s="5" t="s">
        <v>135</v>
      </c>
      <c r="H12" s="5" t="s">
        <v>124</v>
      </c>
      <c r="I12" s="5" t="s">
        <v>125</v>
      </c>
      <c r="J12" s="5" t="s">
        <v>155</v>
      </c>
    </row>
    <row r="13" spans="1:10">
      <c r="A13" s="5" t="s">
        <v>175</v>
      </c>
      <c r="B13" s="5" t="s">
        <v>131</v>
      </c>
      <c r="C13" s="5" t="s">
        <v>176</v>
      </c>
      <c r="D13" s="5" t="s">
        <v>177</v>
      </c>
      <c r="E13" s="5" t="s">
        <v>174</v>
      </c>
      <c r="F13" s="11">
        <v>12</v>
      </c>
      <c r="G13" s="5" t="s">
        <v>135</v>
      </c>
      <c r="H13" s="5" t="s">
        <v>124</v>
      </c>
      <c r="I13" s="5" t="s">
        <v>125</v>
      </c>
      <c r="J13" s="5" t="s">
        <v>155</v>
      </c>
    </row>
    <row r="14" spans="1:10">
      <c r="A14" s="5" t="s">
        <v>178</v>
      </c>
      <c r="B14" s="5" t="s">
        <v>131</v>
      </c>
      <c r="C14" s="5" t="s">
        <v>179</v>
      </c>
      <c r="D14" s="5" t="s">
        <v>180</v>
      </c>
      <c r="E14" s="5" t="s">
        <v>174</v>
      </c>
      <c r="F14" s="11">
        <v>12</v>
      </c>
      <c r="G14" s="5" t="s">
        <v>135</v>
      </c>
      <c r="H14" s="5" t="s">
        <v>124</v>
      </c>
      <c r="I14" s="5" t="s">
        <v>125</v>
      </c>
      <c r="J14" s="5" t="s">
        <v>155</v>
      </c>
    </row>
    <row r="15" spans="1:10">
      <c r="A15" s="5" t="s">
        <v>181</v>
      </c>
      <c r="B15" s="5" t="s">
        <v>131</v>
      </c>
      <c r="C15" s="5" t="s">
        <v>182</v>
      </c>
      <c r="D15" s="5" t="s">
        <v>183</v>
      </c>
      <c r="E15" s="5" t="s">
        <v>174</v>
      </c>
      <c r="F15" s="11">
        <v>12</v>
      </c>
      <c r="G15" s="5" t="s">
        <v>135</v>
      </c>
      <c r="H15" s="5" t="s">
        <v>184</v>
      </c>
      <c r="I15" s="5" t="s">
        <v>125</v>
      </c>
      <c r="J15" s="5" t="s">
        <v>155</v>
      </c>
    </row>
    <row r="16" spans="1:10">
      <c r="A16" s="5" t="s">
        <v>185</v>
      </c>
      <c r="B16" s="5" t="s">
        <v>131</v>
      </c>
      <c r="C16" s="5" t="s">
        <v>186</v>
      </c>
      <c r="D16" s="5" t="s">
        <v>187</v>
      </c>
      <c r="E16" s="5" t="s">
        <v>134</v>
      </c>
      <c r="F16" s="11">
        <v>12</v>
      </c>
      <c r="G16" s="5" t="s">
        <v>135</v>
      </c>
      <c r="H16" s="5" t="s">
        <v>136</v>
      </c>
      <c r="I16" s="5" t="s">
        <v>125</v>
      </c>
      <c r="J16" s="5" t="s">
        <v>137</v>
      </c>
    </row>
    <row r="17" spans="1:10">
      <c r="A17" s="5" t="s">
        <v>188</v>
      </c>
      <c r="B17" s="5" t="s">
        <v>131</v>
      </c>
      <c r="C17" s="5" t="s">
        <v>189</v>
      </c>
      <c r="D17" s="5" t="s">
        <v>190</v>
      </c>
      <c r="E17" s="5" t="s">
        <v>191</v>
      </c>
      <c r="F17" s="11">
        <v>1</v>
      </c>
      <c r="G17" s="5" t="s">
        <v>141</v>
      </c>
      <c r="H17" s="5" t="s">
        <v>192</v>
      </c>
      <c r="I17" s="5" t="s">
        <v>160</v>
      </c>
      <c r="J17" s="5" t="s">
        <v>155</v>
      </c>
    </row>
    <row r="18" spans="1:10" ht="25.2">
      <c r="A18" s="5" t="s">
        <v>193</v>
      </c>
      <c r="B18" s="5" t="s">
        <v>131</v>
      </c>
      <c r="C18" s="5" t="s">
        <v>194</v>
      </c>
      <c r="D18" s="5" t="s">
        <v>195</v>
      </c>
      <c r="E18" s="5" t="s">
        <v>134</v>
      </c>
      <c r="F18" s="11">
        <v>4</v>
      </c>
      <c r="G18" s="5" t="s">
        <v>141</v>
      </c>
      <c r="H18" s="5" t="s">
        <v>167</v>
      </c>
      <c r="I18" s="5" t="s">
        <v>160</v>
      </c>
      <c r="J18" s="5" t="s">
        <v>137</v>
      </c>
    </row>
    <row r="19" spans="1:10">
      <c r="A19" s="5" t="s">
        <v>196</v>
      </c>
      <c r="B19" s="5" t="s">
        <v>131</v>
      </c>
      <c r="C19" s="5" t="s">
        <v>197</v>
      </c>
      <c r="D19" s="5" t="s">
        <v>198</v>
      </c>
      <c r="E19" s="5" t="s">
        <v>199</v>
      </c>
      <c r="F19" s="11">
        <v>2</v>
      </c>
      <c r="G19" s="5" t="s">
        <v>141</v>
      </c>
      <c r="H19" s="5" t="s">
        <v>200</v>
      </c>
      <c r="I19" s="5" t="s">
        <v>160</v>
      </c>
      <c r="J19" s="5" t="s">
        <v>155</v>
      </c>
    </row>
    <row r="20" spans="1:10">
      <c r="A20" s="5" t="s">
        <v>201</v>
      </c>
      <c r="B20" s="5" t="s">
        <v>131</v>
      </c>
      <c r="C20" s="5" t="s">
        <v>202</v>
      </c>
      <c r="D20" s="5" t="s">
        <v>203</v>
      </c>
      <c r="E20" s="5" t="s">
        <v>191</v>
      </c>
      <c r="F20" s="11">
        <v>2</v>
      </c>
      <c r="G20" s="5" t="s">
        <v>141</v>
      </c>
      <c r="H20" s="5" t="s">
        <v>200</v>
      </c>
      <c r="I20" s="5" t="s">
        <v>160</v>
      </c>
      <c r="J20" s="5" t="s">
        <v>155</v>
      </c>
    </row>
    <row r="21" spans="1:10" ht="25.2">
      <c r="A21" s="5" t="s">
        <v>204</v>
      </c>
      <c r="B21" s="5" t="s">
        <v>131</v>
      </c>
      <c r="C21" s="5" t="s">
        <v>205</v>
      </c>
      <c r="D21" s="5" t="s">
        <v>206</v>
      </c>
      <c r="E21" s="5" t="s">
        <v>134</v>
      </c>
      <c r="F21" s="11">
        <v>12</v>
      </c>
      <c r="G21" s="5" t="s">
        <v>135</v>
      </c>
      <c r="H21" s="5" t="s">
        <v>207</v>
      </c>
      <c r="I21" s="5" t="s">
        <v>125</v>
      </c>
      <c r="J21" s="5" t="s">
        <v>155</v>
      </c>
    </row>
    <row r="22" spans="1:10">
      <c r="A22" s="5" t="s">
        <v>208</v>
      </c>
      <c r="B22" s="5" t="s">
        <v>209</v>
      </c>
      <c r="C22" s="5" t="s">
        <v>210</v>
      </c>
      <c r="D22" s="5" t="s">
        <v>211</v>
      </c>
      <c r="E22" s="5" t="s">
        <v>134</v>
      </c>
      <c r="F22" s="11">
        <v>3</v>
      </c>
      <c r="G22" s="5" t="s">
        <v>141</v>
      </c>
      <c r="H22" s="5" t="s">
        <v>159</v>
      </c>
      <c r="I22" s="5" t="s">
        <v>160</v>
      </c>
      <c r="J22" s="5" t="s">
        <v>137</v>
      </c>
    </row>
    <row r="23" spans="1:10">
      <c r="A23" s="5" t="s">
        <v>212</v>
      </c>
      <c r="B23" s="5" t="s">
        <v>209</v>
      </c>
      <c r="C23" s="5" t="s">
        <v>213</v>
      </c>
      <c r="D23" s="5" t="s">
        <v>214</v>
      </c>
      <c r="E23" s="5" t="s">
        <v>134</v>
      </c>
      <c r="F23" s="11">
        <v>12</v>
      </c>
      <c r="G23" s="5" t="s">
        <v>135</v>
      </c>
      <c r="H23" s="5" t="s">
        <v>136</v>
      </c>
      <c r="I23" s="5" t="s">
        <v>125</v>
      </c>
      <c r="J23" s="5" t="s">
        <v>137</v>
      </c>
    </row>
    <row r="24" spans="1:10" ht="25.2">
      <c r="A24" s="5" t="s">
        <v>215</v>
      </c>
      <c r="B24" s="5" t="s">
        <v>209</v>
      </c>
      <c r="C24" s="5" t="s">
        <v>216</v>
      </c>
      <c r="D24" s="5" t="s">
        <v>217</v>
      </c>
      <c r="E24" s="5" t="s">
        <v>134</v>
      </c>
      <c r="F24" s="11">
        <v>6</v>
      </c>
      <c r="G24" s="5" t="s">
        <v>141</v>
      </c>
      <c r="H24" s="5" t="s">
        <v>167</v>
      </c>
      <c r="I24" s="5" t="s">
        <v>160</v>
      </c>
      <c r="J24" s="5" t="s">
        <v>137</v>
      </c>
    </row>
    <row r="25" spans="1:10" ht="25.2">
      <c r="A25" s="5" t="s">
        <v>218</v>
      </c>
      <c r="B25" s="5" t="s">
        <v>209</v>
      </c>
      <c r="C25" s="5" t="s">
        <v>197</v>
      </c>
      <c r="D25" s="5" t="s">
        <v>219</v>
      </c>
      <c r="E25" s="5" t="s">
        <v>199</v>
      </c>
      <c r="F25" s="11">
        <v>2</v>
      </c>
      <c r="G25" s="5" t="s">
        <v>141</v>
      </c>
      <c r="H25" s="5" t="s">
        <v>200</v>
      </c>
      <c r="I25" s="5" t="s">
        <v>160</v>
      </c>
      <c r="J25" s="5" t="s">
        <v>155</v>
      </c>
    </row>
    <row r="26" spans="1:10">
      <c r="A26" s="5" t="s">
        <v>220</v>
      </c>
      <c r="B26" s="5" t="s">
        <v>209</v>
      </c>
      <c r="C26" s="5" t="s">
        <v>221</v>
      </c>
      <c r="D26" s="5" t="s">
        <v>203</v>
      </c>
      <c r="E26" s="5" t="s">
        <v>191</v>
      </c>
      <c r="F26" s="11">
        <v>2</v>
      </c>
      <c r="G26" s="5" t="s">
        <v>141</v>
      </c>
      <c r="H26" s="5" t="s">
        <v>200</v>
      </c>
      <c r="I26" s="5" t="s">
        <v>160</v>
      </c>
      <c r="J26" s="5" t="s">
        <v>155</v>
      </c>
    </row>
    <row r="27" spans="1:10">
      <c r="A27" s="5" t="s">
        <v>222</v>
      </c>
      <c r="B27" s="5" t="s">
        <v>209</v>
      </c>
      <c r="C27" s="5" t="s">
        <v>132</v>
      </c>
      <c r="D27" s="5" t="s">
        <v>223</v>
      </c>
      <c r="E27" s="5" t="s">
        <v>134</v>
      </c>
      <c r="F27" s="11">
        <v>4</v>
      </c>
      <c r="G27" s="5" t="s">
        <v>141</v>
      </c>
      <c r="H27" s="5" t="s">
        <v>136</v>
      </c>
      <c r="I27" s="5" t="s">
        <v>125</v>
      </c>
      <c r="J27" s="5" t="s">
        <v>137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9"/>
  <sheetViews>
    <sheetView showGridLines="0" topLeftCell="A106" workbookViewId="0"/>
  </sheetViews>
  <sheetFormatPr defaultRowHeight="13.8"/>
  <cols>
    <col min="1" max="1" width="25" customWidth="1"/>
    <col min="2" max="2" width="8" customWidth="1"/>
    <col min="3" max="3" width="34" customWidth="1"/>
    <col min="4" max="4" width="14" customWidth="1"/>
    <col min="5" max="5" width="20" customWidth="1"/>
    <col min="6" max="6" width="13" customWidth="1"/>
    <col min="7" max="7" width="20" customWidth="1"/>
    <col min="8" max="8" width="50" customWidth="1"/>
  </cols>
  <sheetData>
    <row r="1" spans="1:8" ht="25.2">
      <c r="A1" s="18" t="s">
        <v>126</v>
      </c>
      <c r="B1" s="18" t="s">
        <v>84</v>
      </c>
      <c r="C1" s="18" t="s">
        <v>22</v>
      </c>
      <c r="D1" s="18" t="s">
        <v>23</v>
      </c>
      <c r="E1" s="18" t="s">
        <v>224</v>
      </c>
      <c r="F1" s="18" t="s">
        <v>25</v>
      </c>
      <c r="G1" s="18" t="s">
        <v>86</v>
      </c>
      <c r="H1" s="18" t="s">
        <v>26</v>
      </c>
    </row>
    <row r="2" spans="1:8">
      <c r="A2" s="11" t="s">
        <v>130</v>
      </c>
      <c r="B2" s="11">
        <v>1</v>
      </c>
      <c r="C2" s="5" t="s">
        <v>225</v>
      </c>
      <c r="D2" s="5" t="s">
        <v>226</v>
      </c>
      <c r="E2" s="5">
        <v>1</v>
      </c>
      <c r="F2" s="5" t="s">
        <v>227</v>
      </c>
      <c r="G2" s="5" t="s">
        <v>228</v>
      </c>
      <c r="H2" s="5" t="s">
        <v>229</v>
      </c>
    </row>
    <row r="3" spans="1:8">
      <c r="A3" s="11" t="s">
        <v>130</v>
      </c>
      <c r="B3" s="11">
        <v>2</v>
      </c>
      <c r="C3" s="5" t="s">
        <v>230</v>
      </c>
      <c r="D3" s="5" t="s">
        <v>231</v>
      </c>
      <c r="E3" s="5">
        <v>12</v>
      </c>
      <c r="F3" s="5" t="s">
        <v>227</v>
      </c>
      <c r="G3" s="5" t="s">
        <v>232</v>
      </c>
      <c r="H3" s="5" t="s">
        <v>233</v>
      </c>
    </row>
    <row r="4" spans="1:8">
      <c r="A4" s="11" t="s">
        <v>130</v>
      </c>
      <c r="B4" s="11">
        <v>3</v>
      </c>
      <c r="C4" s="5" t="s">
        <v>234</v>
      </c>
      <c r="D4" s="5" t="s">
        <v>235</v>
      </c>
      <c r="E4" s="5">
        <v>40</v>
      </c>
      <c r="F4" s="5" t="s">
        <v>236</v>
      </c>
      <c r="G4" s="5" t="s">
        <v>237</v>
      </c>
      <c r="H4" s="5" t="s">
        <v>238</v>
      </c>
    </row>
    <row r="5" spans="1:8">
      <c r="A5" s="11" t="s">
        <v>130</v>
      </c>
      <c r="B5" s="11">
        <v>4</v>
      </c>
      <c r="C5" s="5" t="s">
        <v>239</v>
      </c>
      <c r="D5" s="5" t="s">
        <v>226</v>
      </c>
      <c r="E5" s="5"/>
      <c r="F5" s="5" t="s">
        <v>236</v>
      </c>
      <c r="G5" s="5" t="s">
        <v>237</v>
      </c>
      <c r="H5" s="5" t="s">
        <v>240</v>
      </c>
    </row>
    <row r="6" spans="1:8">
      <c r="A6" s="11" t="s">
        <v>130</v>
      </c>
      <c r="B6" s="11">
        <v>5</v>
      </c>
      <c r="C6" s="5" t="s">
        <v>241</v>
      </c>
      <c r="D6" s="5" t="s">
        <v>242</v>
      </c>
      <c r="E6" s="5"/>
      <c r="F6" s="5" t="s">
        <v>236</v>
      </c>
      <c r="G6" s="5" t="s">
        <v>237</v>
      </c>
      <c r="H6" s="5" t="s">
        <v>243</v>
      </c>
    </row>
    <row r="7" spans="1:8">
      <c r="A7" s="11" t="s">
        <v>130</v>
      </c>
      <c r="B7" s="11">
        <v>6</v>
      </c>
      <c r="C7" s="5" t="s">
        <v>244</v>
      </c>
      <c r="D7" s="5" t="s">
        <v>245</v>
      </c>
      <c r="E7" s="5">
        <v>1</v>
      </c>
      <c r="F7" s="5" t="s">
        <v>227</v>
      </c>
      <c r="G7" s="5" t="s">
        <v>246</v>
      </c>
      <c r="H7" s="5" t="s">
        <v>247</v>
      </c>
    </row>
    <row r="8" spans="1:8">
      <c r="A8" s="11" t="s">
        <v>130</v>
      </c>
      <c r="B8" s="11">
        <v>7</v>
      </c>
      <c r="C8" s="5" t="s">
        <v>248</v>
      </c>
      <c r="D8" s="5" t="s">
        <v>249</v>
      </c>
      <c r="E8" s="5">
        <v>0</v>
      </c>
      <c r="F8" s="5" t="s">
        <v>236</v>
      </c>
      <c r="G8" s="5" t="s">
        <v>250</v>
      </c>
      <c r="H8" s="5" t="s">
        <v>251</v>
      </c>
    </row>
    <row r="9" spans="1:8">
      <c r="A9" s="11" t="s">
        <v>130</v>
      </c>
      <c r="B9" s="11">
        <v>8</v>
      </c>
      <c r="C9" s="5" t="s">
        <v>252</v>
      </c>
      <c r="D9" s="5" t="s">
        <v>249</v>
      </c>
      <c r="E9" s="5">
        <v>0</v>
      </c>
      <c r="F9" s="5" t="s">
        <v>236</v>
      </c>
      <c r="G9" s="5" t="s">
        <v>253</v>
      </c>
      <c r="H9" s="5" t="s">
        <v>254</v>
      </c>
    </row>
    <row r="10" spans="1:8">
      <c r="A10" s="11" t="s">
        <v>138</v>
      </c>
      <c r="B10" s="11">
        <v>1</v>
      </c>
      <c r="C10" s="5" t="s">
        <v>255</v>
      </c>
      <c r="D10" s="5" t="s">
        <v>226</v>
      </c>
      <c r="E10" s="5">
        <v>1</v>
      </c>
      <c r="F10" s="5" t="s">
        <v>227</v>
      </c>
      <c r="G10" s="5" t="s">
        <v>228</v>
      </c>
      <c r="H10" s="5" t="s">
        <v>229</v>
      </c>
    </row>
    <row r="11" spans="1:8">
      <c r="A11" s="11" t="s">
        <v>138</v>
      </c>
      <c r="B11" s="11">
        <v>2</v>
      </c>
      <c r="C11" s="5" t="s">
        <v>230</v>
      </c>
      <c r="D11" s="5" t="s">
        <v>231</v>
      </c>
      <c r="E11" s="5">
        <v>6</v>
      </c>
      <c r="F11" s="5" t="s">
        <v>227</v>
      </c>
      <c r="G11" s="5" t="s">
        <v>232</v>
      </c>
      <c r="H11" s="5" t="s">
        <v>233</v>
      </c>
    </row>
    <row r="12" spans="1:8">
      <c r="A12" s="11" t="s">
        <v>138</v>
      </c>
      <c r="B12" s="11">
        <v>3</v>
      </c>
      <c r="C12" s="5" t="s">
        <v>234</v>
      </c>
      <c r="D12" s="5" t="s">
        <v>235</v>
      </c>
      <c r="E12" s="5">
        <v>40</v>
      </c>
      <c r="F12" s="5" t="s">
        <v>236</v>
      </c>
      <c r="G12" s="5" t="s">
        <v>237</v>
      </c>
      <c r="H12" s="5" t="s">
        <v>238</v>
      </c>
    </row>
    <row r="13" spans="1:8">
      <c r="A13" s="11" t="s">
        <v>138</v>
      </c>
      <c r="B13" s="11">
        <v>4</v>
      </c>
      <c r="C13" s="5" t="s">
        <v>239</v>
      </c>
      <c r="D13" s="5" t="s">
        <v>226</v>
      </c>
      <c r="E13" s="5"/>
      <c r="F13" s="5" t="s">
        <v>236</v>
      </c>
      <c r="G13" s="5" t="s">
        <v>237</v>
      </c>
      <c r="H13" s="5" t="s">
        <v>240</v>
      </c>
    </row>
    <row r="14" spans="1:8">
      <c r="A14" s="11" t="s">
        <v>138</v>
      </c>
      <c r="B14" s="11">
        <v>5</v>
      </c>
      <c r="C14" s="5" t="s">
        <v>241</v>
      </c>
      <c r="D14" s="5" t="s">
        <v>242</v>
      </c>
      <c r="E14" s="5"/>
      <c r="F14" s="5" t="s">
        <v>236</v>
      </c>
      <c r="G14" s="5" t="s">
        <v>237</v>
      </c>
      <c r="H14" s="5" t="s">
        <v>243</v>
      </c>
    </row>
    <row r="15" spans="1:8">
      <c r="A15" s="11" t="s">
        <v>138</v>
      </c>
      <c r="B15" s="11">
        <v>6</v>
      </c>
      <c r="C15" s="5" t="s">
        <v>244</v>
      </c>
      <c r="D15" s="5" t="s">
        <v>245</v>
      </c>
      <c r="E15" s="5">
        <v>1</v>
      </c>
      <c r="F15" s="5" t="s">
        <v>227</v>
      </c>
      <c r="G15" s="5" t="s">
        <v>246</v>
      </c>
      <c r="H15" s="5" t="s">
        <v>247</v>
      </c>
    </row>
    <row r="16" spans="1:8">
      <c r="A16" s="11" t="s">
        <v>138</v>
      </c>
      <c r="B16" s="11">
        <v>7</v>
      </c>
      <c r="C16" s="5" t="s">
        <v>248</v>
      </c>
      <c r="D16" s="5" t="s">
        <v>249</v>
      </c>
      <c r="E16" s="5">
        <v>0</v>
      </c>
      <c r="F16" s="5" t="s">
        <v>236</v>
      </c>
      <c r="G16" s="5" t="s">
        <v>250</v>
      </c>
      <c r="H16" s="5" t="s">
        <v>251</v>
      </c>
    </row>
    <row r="17" spans="1:8">
      <c r="A17" s="11" t="s">
        <v>138</v>
      </c>
      <c r="B17" s="11">
        <v>8</v>
      </c>
      <c r="C17" s="5" t="s">
        <v>252</v>
      </c>
      <c r="D17" s="5" t="s">
        <v>249</v>
      </c>
      <c r="E17" s="5">
        <v>0</v>
      </c>
      <c r="F17" s="5" t="s">
        <v>236</v>
      </c>
      <c r="G17" s="5" t="s">
        <v>253</v>
      </c>
      <c r="H17" s="5" t="s">
        <v>254</v>
      </c>
    </row>
    <row r="18" spans="1:8">
      <c r="A18" s="11" t="s">
        <v>142</v>
      </c>
      <c r="B18" s="11">
        <v>1</v>
      </c>
      <c r="C18" s="5" t="s">
        <v>256</v>
      </c>
      <c r="D18" s="5" t="s">
        <v>226</v>
      </c>
      <c r="E18" s="5">
        <v>1</v>
      </c>
      <c r="F18" s="5" t="s">
        <v>227</v>
      </c>
      <c r="G18" s="5" t="s">
        <v>228</v>
      </c>
      <c r="H18" s="5" t="s">
        <v>229</v>
      </c>
    </row>
    <row r="19" spans="1:8">
      <c r="A19" s="11" t="s">
        <v>142</v>
      </c>
      <c r="B19" s="11">
        <v>2</v>
      </c>
      <c r="C19" s="5" t="s">
        <v>230</v>
      </c>
      <c r="D19" s="5" t="s">
        <v>231</v>
      </c>
      <c r="E19" s="5">
        <v>12</v>
      </c>
      <c r="F19" s="5" t="s">
        <v>227</v>
      </c>
      <c r="G19" s="5" t="s">
        <v>232</v>
      </c>
      <c r="H19" s="5" t="s">
        <v>233</v>
      </c>
    </row>
    <row r="20" spans="1:8">
      <c r="A20" s="11" t="s">
        <v>142</v>
      </c>
      <c r="B20" s="11">
        <v>3</v>
      </c>
      <c r="C20" s="5" t="s">
        <v>234</v>
      </c>
      <c r="D20" s="5" t="s">
        <v>235</v>
      </c>
      <c r="E20" s="5">
        <v>40</v>
      </c>
      <c r="F20" s="5" t="s">
        <v>236</v>
      </c>
      <c r="G20" s="5" t="s">
        <v>237</v>
      </c>
      <c r="H20" s="5" t="s">
        <v>238</v>
      </c>
    </row>
    <row r="21" spans="1:8">
      <c r="A21" s="11" t="s">
        <v>142</v>
      </c>
      <c r="B21" s="11">
        <v>4</v>
      </c>
      <c r="C21" s="5" t="s">
        <v>239</v>
      </c>
      <c r="D21" s="5" t="s">
        <v>226</v>
      </c>
      <c r="E21" s="5"/>
      <c r="F21" s="5" t="s">
        <v>236</v>
      </c>
      <c r="G21" s="5" t="s">
        <v>237</v>
      </c>
      <c r="H21" s="5" t="s">
        <v>240</v>
      </c>
    </row>
    <row r="22" spans="1:8">
      <c r="A22" s="11" t="s">
        <v>142</v>
      </c>
      <c r="B22" s="11">
        <v>5</v>
      </c>
      <c r="C22" s="5" t="s">
        <v>241</v>
      </c>
      <c r="D22" s="5" t="s">
        <v>242</v>
      </c>
      <c r="E22" s="5"/>
      <c r="F22" s="5" t="s">
        <v>236</v>
      </c>
      <c r="G22" s="5" t="s">
        <v>237</v>
      </c>
      <c r="H22" s="5" t="s">
        <v>243</v>
      </c>
    </row>
    <row r="23" spans="1:8">
      <c r="A23" s="11" t="s">
        <v>142</v>
      </c>
      <c r="B23" s="11">
        <v>6</v>
      </c>
      <c r="C23" s="5" t="s">
        <v>244</v>
      </c>
      <c r="D23" s="5" t="s">
        <v>245</v>
      </c>
      <c r="E23" s="5">
        <v>1</v>
      </c>
      <c r="F23" s="5" t="s">
        <v>227</v>
      </c>
      <c r="G23" s="5" t="s">
        <v>246</v>
      </c>
      <c r="H23" s="5" t="s">
        <v>247</v>
      </c>
    </row>
    <row r="24" spans="1:8">
      <c r="A24" s="11" t="s">
        <v>142</v>
      </c>
      <c r="B24" s="11">
        <v>7</v>
      </c>
      <c r="C24" s="5" t="s">
        <v>248</v>
      </c>
      <c r="D24" s="5" t="s">
        <v>249</v>
      </c>
      <c r="E24" s="5">
        <v>0</v>
      </c>
      <c r="F24" s="5" t="s">
        <v>236</v>
      </c>
      <c r="G24" s="5" t="s">
        <v>250</v>
      </c>
      <c r="H24" s="5" t="s">
        <v>251</v>
      </c>
    </row>
    <row r="25" spans="1:8">
      <c r="A25" s="11" t="s">
        <v>142</v>
      </c>
      <c r="B25" s="11">
        <v>8</v>
      </c>
      <c r="C25" s="5" t="s">
        <v>252</v>
      </c>
      <c r="D25" s="5" t="s">
        <v>249</v>
      </c>
      <c r="E25" s="5">
        <v>0</v>
      </c>
      <c r="F25" s="5" t="s">
        <v>236</v>
      </c>
      <c r="G25" s="5" t="s">
        <v>253</v>
      </c>
      <c r="H25" s="5" t="s">
        <v>254</v>
      </c>
    </row>
    <row r="26" spans="1:8">
      <c r="A26" s="11" t="s">
        <v>145</v>
      </c>
      <c r="B26" s="11">
        <v>1</v>
      </c>
      <c r="C26" s="5" t="s">
        <v>257</v>
      </c>
      <c r="D26" s="5" t="s">
        <v>226</v>
      </c>
      <c r="E26" s="5">
        <v>1</v>
      </c>
      <c r="F26" s="5" t="s">
        <v>227</v>
      </c>
      <c r="G26" s="5" t="s">
        <v>228</v>
      </c>
      <c r="H26" s="5" t="s">
        <v>229</v>
      </c>
    </row>
    <row r="27" spans="1:8">
      <c r="A27" s="11" t="s">
        <v>145</v>
      </c>
      <c r="B27" s="11">
        <v>2</v>
      </c>
      <c r="C27" s="5" t="s">
        <v>230</v>
      </c>
      <c r="D27" s="5" t="s">
        <v>231</v>
      </c>
      <c r="E27" s="5">
        <v>12</v>
      </c>
      <c r="F27" s="5" t="s">
        <v>227</v>
      </c>
      <c r="G27" s="5" t="s">
        <v>232</v>
      </c>
      <c r="H27" s="5" t="s">
        <v>233</v>
      </c>
    </row>
    <row r="28" spans="1:8">
      <c r="A28" s="11" t="s">
        <v>145</v>
      </c>
      <c r="B28" s="11">
        <v>3</v>
      </c>
      <c r="C28" s="5" t="s">
        <v>234</v>
      </c>
      <c r="D28" s="5" t="s">
        <v>235</v>
      </c>
      <c r="E28" s="5">
        <v>40</v>
      </c>
      <c r="F28" s="5" t="s">
        <v>236</v>
      </c>
      <c r="G28" s="5" t="s">
        <v>237</v>
      </c>
      <c r="H28" s="5" t="s">
        <v>238</v>
      </c>
    </row>
    <row r="29" spans="1:8">
      <c r="A29" s="11" t="s">
        <v>145</v>
      </c>
      <c r="B29" s="11">
        <v>4</v>
      </c>
      <c r="C29" s="5" t="s">
        <v>239</v>
      </c>
      <c r="D29" s="5" t="s">
        <v>226</v>
      </c>
      <c r="E29" s="5"/>
      <c r="F29" s="5" t="s">
        <v>236</v>
      </c>
      <c r="G29" s="5" t="s">
        <v>237</v>
      </c>
      <c r="H29" s="5" t="s">
        <v>240</v>
      </c>
    </row>
    <row r="30" spans="1:8">
      <c r="A30" s="11" t="s">
        <v>145</v>
      </c>
      <c r="B30" s="11">
        <v>5</v>
      </c>
      <c r="C30" s="5" t="s">
        <v>241</v>
      </c>
      <c r="D30" s="5" t="s">
        <v>242</v>
      </c>
      <c r="E30" s="5"/>
      <c r="F30" s="5" t="s">
        <v>236</v>
      </c>
      <c r="G30" s="5" t="s">
        <v>237</v>
      </c>
      <c r="H30" s="5" t="s">
        <v>243</v>
      </c>
    </row>
    <row r="31" spans="1:8">
      <c r="A31" s="11" t="s">
        <v>145</v>
      </c>
      <c r="B31" s="11">
        <v>6</v>
      </c>
      <c r="C31" s="5" t="s">
        <v>244</v>
      </c>
      <c r="D31" s="5" t="s">
        <v>245</v>
      </c>
      <c r="E31" s="5">
        <v>1</v>
      </c>
      <c r="F31" s="5" t="s">
        <v>227</v>
      </c>
      <c r="G31" s="5" t="s">
        <v>246</v>
      </c>
      <c r="H31" s="5" t="s">
        <v>247</v>
      </c>
    </row>
    <row r="32" spans="1:8">
      <c r="A32" s="11" t="s">
        <v>145</v>
      </c>
      <c r="B32" s="11">
        <v>7</v>
      </c>
      <c r="C32" s="5" t="s">
        <v>248</v>
      </c>
      <c r="D32" s="5" t="s">
        <v>249</v>
      </c>
      <c r="E32" s="5">
        <v>0</v>
      </c>
      <c r="F32" s="5" t="s">
        <v>236</v>
      </c>
      <c r="G32" s="5" t="s">
        <v>250</v>
      </c>
      <c r="H32" s="5" t="s">
        <v>251</v>
      </c>
    </row>
    <row r="33" spans="1:8">
      <c r="A33" s="11" t="s">
        <v>145</v>
      </c>
      <c r="B33" s="11">
        <v>8</v>
      </c>
      <c r="C33" s="5" t="s">
        <v>252</v>
      </c>
      <c r="D33" s="5" t="s">
        <v>249</v>
      </c>
      <c r="E33" s="5">
        <v>0</v>
      </c>
      <c r="F33" s="5" t="s">
        <v>236</v>
      </c>
      <c r="G33" s="5" t="s">
        <v>253</v>
      </c>
      <c r="H33" s="5" t="s">
        <v>254</v>
      </c>
    </row>
    <row r="34" spans="1:8">
      <c r="A34" s="11" t="s">
        <v>148</v>
      </c>
      <c r="B34" s="11">
        <v>1</v>
      </c>
      <c r="C34" s="5" t="s">
        <v>258</v>
      </c>
      <c r="D34" s="5" t="s">
        <v>226</v>
      </c>
      <c r="E34" s="5">
        <v>1</v>
      </c>
      <c r="F34" s="5" t="s">
        <v>227</v>
      </c>
      <c r="G34" s="5" t="s">
        <v>228</v>
      </c>
      <c r="H34" s="5" t="s">
        <v>229</v>
      </c>
    </row>
    <row r="35" spans="1:8">
      <c r="A35" s="11" t="s">
        <v>148</v>
      </c>
      <c r="B35" s="11">
        <v>2</v>
      </c>
      <c r="C35" s="5" t="s">
        <v>230</v>
      </c>
      <c r="D35" s="5" t="s">
        <v>231</v>
      </c>
      <c r="E35" s="5">
        <v>12</v>
      </c>
      <c r="F35" s="5" t="s">
        <v>227</v>
      </c>
      <c r="G35" s="5" t="s">
        <v>232</v>
      </c>
      <c r="H35" s="5" t="s">
        <v>233</v>
      </c>
    </row>
    <row r="36" spans="1:8">
      <c r="A36" s="11" t="s">
        <v>148</v>
      </c>
      <c r="B36" s="11">
        <v>3</v>
      </c>
      <c r="C36" s="5" t="s">
        <v>234</v>
      </c>
      <c r="D36" s="5" t="s">
        <v>235</v>
      </c>
      <c r="E36" s="5">
        <v>40</v>
      </c>
      <c r="F36" s="5" t="s">
        <v>236</v>
      </c>
      <c r="G36" s="5" t="s">
        <v>237</v>
      </c>
      <c r="H36" s="5" t="s">
        <v>238</v>
      </c>
    </row>
    <row r="37" spans="1:8">
      <c r="A37" s="11" t="s">
        <v>148</v>
      </c>
      <c r="B37" s="11">
        <v>4</v>
      </c>
      <c r="C37" s="5" t="s">
        <v>239</v>
      </c>
      <c r="D37" s="5" t="s">
        <v>226</v>
      </c>
      <c r="E37" s="5"/>
      <c r="F37" s="5" t="s">
        <v>236</v>
      </c>
      <c r="G37" s="5" t="s">
        <v>237</v>
      </c>
      <c r="H37" s="5" t="s">
        <v>240</v>
      </c>
    </row>
    <row r="38" spans="1:8">
      <c r="A38" s="11" t="s">
        <v>148</v>
      </c>
      <c r="B38" s="11">
        <v>5</v>
      </c>
      <c r="C38" s="5" t="s">
        <v>241</v>
      </c>
      <c r="D38" s="5" t="s">
        <v>242</v>
      </c>
      <c r="E38" s="5"/>
      <c r="F38" s="5" t="s">
        <v>236</v>
      </c>
      <c r="G38" s="5" t="s">
        <v>237</v>
      </c>
      <c r="H38" s="5" t="s">
        <v>243</v>
      </c>
    </row>
    <row r="39" spans="1:8">
      <c r="A39" s="11" t="s">
        <v>148</v>
      </c>
      <c r="B39" s="11">
        <v>6</v>
      </c>
      <c r="C39" s="5" t="s">
        <v>244</v>
      </c>
      <c r="D39" s="5" t="s">
        <v>245</v>
      </c>
      <c r="E39" s="5">
        <v>1</v>
      </c>
      <c r="F39" s="5" t="s">
        <v>227</v>
      </c>
      <c r="G39" s="5" t="s">
        <v>246</v>
      </c>
      <c r="H39" s="5" t="s">
        <v>247</v>
      </c>
    </row>
    <row r="40" spans="1:8">
      <c r="A40" s="11" t="s">
        <v>148</v>
      </c>
      <c r="B40" s="11">
        <v>7</v>
      </c>
      <c r="C40" s="5" t="s">
        <v>248</v>
      </c>
      <c r="D40" s="5" t="s">
        <v>249</v>
      </c>
      <c r="E40" s="5">
        <v>0</v>
      </c>
      <c r="F40" s="5" t="s">
        <v>236</v>
      </c>
      <c r="G40" s="5" t="s">
        <v>250</v>
      </c>
      <c r="H40" s="5" t="s">
        <v>251</v>
      </c>
    </row>
    <row r="41" spans="1:8">
      <c r="A41" s="11" t="s">
        <v>148</v>
      </c>
      <c r="B41" s="11">
        <v>8</v>
      </c>
      <c r="C41" s="5" t="s">
        <v>252</v>
      </c>
      <c r="D41" s="5" t="s">
        <v>249</v>
      </c>
      <c r="E41" s="5">
        <v>0</v>
      </c>
      <c r="F41" s="5" t="s">
        <v>236</v>
      </c>
      <c r="G41" s="5" t="s">
        <v>253</v>
      </c>
      <c r="H41" s="5" t="s">
        <v>254</v>
      </c>
    </row>
    <row r="42" spans="1:8">
      <c r="A42" s="11" t="s">
        <v>151</v>
      </c>
      <c r="B42" s="11">
        <v>1</v>
      </c>
      <c r="C42" s="5" t="s">
        <v>259</v>
      </c>
      <c r="D42" s="5" t="s">
        <v>260</v>
      </c>
      <c r="E42" s="5">
        <v>1</v>
      </c>
      <c r="F42" s="5" t="s">
        <v>227</v>
      </c>
      <c r="G42" s="5" t="s">
        <v>228</v>
      </c>
      <c r="H42" s="5" t="s">
        <v>229</v>
      </c>
    </row>
    <row r="43" spans="1:8">
      <c r="A43" s="11" t="s">
        <v>151</v>
      </c>
      <c r="B43" s="11">
        <v>2</v>
      </c>
      <c r="C43" s="5" t="s">
        <v>261</v>
      </c>
      <c r="D43" s="5" t="s">
        <v>231</v>
      </c>
      <c r="E43" s="5">
        <v>12</v>
      </c>
      <c r="F43" s="5" t="s">
        <v>227</v>
      </c>
      <c r="G43" s="5" t="s">
        <v>232</v>
      </c>
      <c r="H43" s="5" t="s">
        <v>262</v>
      </c>
    </row>
    <row r="44" spans="1:8">
      <c r="A44" s="11" t="s">
        <v>151</v>
      </c>
      <c r="B44" s="11">
        <v>3</v>
      </c>
      <c r="C44" s="5" t="s">
        <v>263</v>
      </c>
      <c r="D44" s="5" t="s">
        <v>249</v>
      </c>
      <c r="E44" s="5"/>
      <c r="F44" s="5" t="s">
        <v>227</v>
      </c>
      <c r="G44" s="5" t="s">
        <v>264</v>
      </c>
      <c r="H44" s="5" t="s">
        <v>265</v>
      </c>
    </row>
    <row r="45" spans="1:8">
      <c r="A45" s="11" t="s">
        <v>151</v>
      </c>
      <c r="B45" s="11">
        <v>4</v>
      </c>
      <c r="C45" s="5" t="s">
        <v>266</v>
      </c>
      <c r="D45" s="5" t="s">
        <v>267</v>
      </c>
      <c r="E45" s="5">
        <v>0</v>
      </c>
      <c r="F45" s="5" t="s">
        <v>236</v>
      </c>
      <c r="G45" s="5" t="s">
        <v>268</v>
      </c>
      <c r="H45" s="5" t="s">
        <v>269</v>
      </c>
    </row>
    <row r="46" spans="1:8">
      <c r="A46" s="11" t="s">
        <v>151</v>
      </c>
      <c r="B46" s="11">
        <v>5</v>
      </c>
      <c r="C46" s="5" t="s">
        <v>270</v>
      </c>
      <c r="D46" s="5" t="s">
        <v>271</v>
      </c>
      <c r="E46" s="5">
        <v>1</v>
      </c>
      <c r="F46" s="5" t="s">
        <v>227</v>
      </c>
      <c r="G46" s="5" t="s">
        <v>272</v>
      </c>
      <c r="H46" s="5" t="s">
        <v>273</v>
      </c>
    </row>
    <row r="47" spans="1:8">
      <c r="A47" s="11" t="s">
        <v>151</v>
      </c>
      <c r="B47" s="11">
        <v>6</v>
      </c>
      <c r="C47" s="5" t="s">
        <v>244</v>
      </c>
      <c r="D47" s="5" t="s">
        <v>245</v>
      </c>
      <c r="E47" s="5">
        <v>1</v>
      </c>
      <c r="F47" s="5" t="s">
        <v>227</v>
      </c>
      <c r="G47" s="5" t="s">
        <v>246</v>
      </c>
      <c r="H47" s="5" t="s">
        <v>274</v>
      </c>
    </row>
    <row r="48" spans="1:8">
      <c r="A48" s="11" t="s">
        <v>151</v>
      </c>
      <c r="B48" s="11">
        <v>7</v>
      </c>
      <c r="C48" s="5" t="s">
        <v>248</v>
      </c>
      <c r="D48" s="5" t="s">
        <v>249</v>
      </c>
      <c r="E48" s="5">
        <v>0</v>
      </c>
      <c r="F48" s="5" t="s">
        <v>236</v>
      </c>
      <c r="G48" s="5" t="s">
        <v>250</v>
      </c>
      <c r="H48" s="5" t="s">
        <v>275</v>
      </c>
    </row>
    <row r="49" spans="1:8">
      <c r="A49" s="11" t="s">
        <v>151</v>
      </c>
      <c r="B49" s="11">
        <v>8</v>
      </c>
      <c r="C49" s="5" t="s">
        <v>276</v>
      </c>
      <c r="D49" s="5" t="s">
        <v>277</v>
      </c>
      <c r="E49" s="5"/>
      <c r="F49" s="5" t="s">
        <v>236</v>
      </c>
      <c r="G49" s="5" t="s">
        <v>237</v>
      </c>
      <c r="H49" s="5" t="s">
        <v>278</v>
      </c>
    </row>
    <row r="50" spans="1:8">
      <c r="A50" s="11" t="s">
        <v>156</v>
      </c>
      <c r="B50" s="11">
        <v>1</v>
      </c>
      <c r="C50" s="5" t="s">
        <v>279</v>
      </c>
      <c r="D50" s="5" t="s">
        <v>226</v>
      </c>
      <c r="E50" s="5">
        <v>1</v>
      </c>
      <c r="F50" s="5" t="s">
        <v>227</v>
      </c>
      <c r="G50" s="5" t="s">
        <v>228</v>
      </c>
      <c r="H50" s="5" t="s">
        <v>280</v>
      </c>
    </row>
    <row r="51" spans="1:8">
      <c r="A51" s="11" t="s">
        <v>156</v>
      </c>
      <c r="B51" s="11">
        <v>2</v>
      </c>
      <c r="C51" s="5" t="s">
        <v>281</v>
      </c>
      <c r="D51" s="5" t="s">
        <v>226</v>
      </c>
      <c r="E51" s="5">
        <v>1</v>
      </c>
      <c r="F51" s="5" t="s">
        <v>236</v>
      </c>
      <c r="G51" s="5" t="s">
        <v>237</v>
      </c>
      <c r="H51" s="5" t="s">
        <v>282</v>
      </c>
    </row>
    <row r="52" spans="1:8">
      <c r="A52" s="11" t="s">
        <v>156</v>
      </c>
      <c r="B52" s="11">
        <v>3</v>
      </c>
      <c r="C52" s="5" t="s">
        <v>283</v>
      </c>
      <c r="D52" s="5" t="s">
        <v>271</v>
      </c>
      <c r="E52" s="5">
        <v>1</v>
      </c>
      <c r="F52" s="5" t="s">
        <v>227</v>
      </c>
      <c r="G52" s="5" t="s">
        <v>272</v>
      </c>
      <c r="H52" s="5" t="s">
        <v>284</v>
      </c>
    </row>
    <row r="53" spans="1:8">
      <c r="A53" s="11" t="s">
        <v>156</v>
      </c>
      <c r="B53" s="11">
        <v>4</v>
      </c>
      <c r="C53" s="5" t="s">
        <v>285</v>
      </c>
      <c r="D53" s="5" t="s">
        <v>245</v>
      </c>
      <c r="E53" s="5">
        <v>1</v>
      </c>
      <c r="F53" s="5" t="s">
        <v>227</v>
      </c>
      <c r="G53" s="5" t="s">
        <v>246</v>
      </c>
      <c r="H53" s="5" t="s">
        <v>286</v>
      </c>
    </row>
    <row r="54" spans="1:8">
      <c r="A54" s="11" t="s">
        <v>156</v>
      </c>
      <c r="B54" s="11">
        <v>5</v>
      </c>
      <c r="C54" s="5" t="s">
        <v>248</v>
      </c>
      <c r="D54" s="5" t="s">
        <v>249</v>
      </c>
      <c r="E54" s="5">
        <v>0</v>
      </c>
      <c r="F54" s="5" t="s">
        <v>236</v>
      </c>
      <c r="G54" s="5" t="s">
        <v>250</v>
      </c>
      <c r="H54" s="5" t="s">
        <v>251</v>
      </c>
    </row>
    <row r="55" spans="1:8">
      <c r="A55" s="11" t="s">
        <v>156</v>
      </c>
      <c r="B55" s="11">
        <v>6</v>
      </c>
      <c r="C55" s="5" t="s">
        <v>287</v>
      </c>
      <c r="D55" s="5" t="s">
        <v>267</v>
      </c>
      <c r="E55" s="5">
        <v>0</v>
      </c>
      <c r="F55" s="5" t="s">
        <v>236</v>
      </c>
      <c r="G55" s="5" t="s">
        <v>268</v>
      </c>
      <c r="H55" s="5" t="s">
        <v>288</v>
      </c>
    </row>
    <row r="56" spans="1:8">
      <c r="A56" s="11" t="s">
        <v>156</v>
      </c>
      <c r="B56" s="11">
        <v>7</v>
      </c>
      <c r="C56" s="5" t="s">
        <v>289</v>
      </c>
      <c r="D56" s="5" t="s">
        <v>290</v>
      </c>
      <c r="E56" s="5"/>
      <c r="F56" s="5" t="s">
        <v>236</v>
      </c>
      <c r="G56" s="5" t="s">
        <v>237</v>
      </c>
      <c r="H56" s="5" t="s">
        <v>291</v>
      </c>
    </row>
    <row r="57" spans="1:8">
      <c r="A57" s="11" t="s">
        <v>156</v>
      </c>
      <c r="B57" s="11">
        <v>8</v>
      </c>
      <c r="C57" s="5" t="s">
        <v>292</v>
      </c>
      <c r="D57" s="5" t="s">
        <v>293</v>
      </c>
      <c r="E57" s="5"/>
      <c r="F57" s="5" t="s">
        <v>236</v>
      </c>
      <c r="G57" s="5" t="s">
        <v>237</v>
      </c>
      <c r="H57" s="5" t="s">
        <v>291</v>
      </c>
    </row>
    <row r="58" spans="1:8">
      <c r="A58" s="11" t="s">
        <v>161</v>
      </c>
      <c r="B58" s="11">
        <v>1</v>
      </c>
      <c r="C58" s="5" t="s">
        <v>294</v>
      </c>
      <c r="D58" s="5" t="s">
        <v>226</v>
      </c>
      <c r="E58" s="5">
        <v>1</v>
      </c>
      <c r="F58" s="5" t="s">
        <v>227</v>
      </c>
      <c r="G58" s="5" t="s">
        <v>228</v>
      </c>
      <c r="H58" s="5" t="s">
        <v>229</v>
      </c>
    </row>
    <row r="59" spans="1:8">
      <c r="A59" s="11" t="s">
        <v>161</v>
      </c>
      <c r="B59" s="11">
        <v>2</v>
      </c>
      <c r="C59" s="5" t="s">
        <v>295</v>
      </c>
      <c r="D59" s="5" t="s">
        <v>226</v>
      </c>
      <c r="E59" s="5">
        <v>1</v>
      </c>
      <c r="F59" s="5" t="s">
        <v>236</v>
      </c>
      <c r="G59" s="5" t="s">
        <v>237</v>
      </c>
      <c r="H59" s="5" t="s">
        <v>296</v>
      </c>
    </row>
    <row r="60" spans="1:8">
      <c r="A60" s="11" t="s">
        <v>161</v>
      </c>
      <c r="B60" s="11">
        <v>3</v>
      </c>
      <c r="C60" s="5" t="s">
        <v>297</v>
      </c>
      <c r="D60" s="5" t="s">
        <v>226</v>
      </c>
      <c r="E60" s="5"/>
      <c r="F60" s="5" t="s">
        <v>236</v>
      </c>
      <c r="G60" s="5" t="s">
        <v>237</v>
      </c>
      <c r="H60" s="5" t="s">
        <v>296</v>
      </c>
    </row>
    <row r="61" spans="1:8">
      <c r="A61" s="11" t="s">
        <v>161</v>
      </c>
      <c r="B61" s="11">
        <v>4</v>
      </c>
      <c r="C61" s="5" t="s">
        <v>298</v>
      </c>
      <c r="D61" s="5" t="s">
        <v>271</v>
      </c>
      <c r="E61" s="5">
        <v>1</v>
      </c>
      <c r="F61" s="5" t="s">
        <v>227</v>
      </c>
      <c r="G61" s="5" t="s">
        <v>272</v>
      </c>
      <c r="H61" s="5" t="s">
        <v>284</v>
      </c>
    </row>
    <row r="62" spans="1:8">
      <c r="A62" s="11" t="s">
        <v>161</v>
      </c>
      <c r="B62" s="11">
        <v>5</v>
      </c>
      <c r="C62" s="5" t="s">
        <v>285</v>
      </c>
      <c r="D62" s="5" t="s">
        <v>245</v>
      </c>
      <c r="E62" s="5">
        <v>1</v>
      </c>
      <c r="F62" s="5" t="s">
        <v>227</v>
      </c>
      <c r="G62" s="5" t="s">
        <v>246</v>
      </c>
      <c r="H62" s="5" t="s">
        <v>274</v>
      </c>
    </row>
    <row r="63" spans="1:8">
      <c r="A63" s="11" t="s">
        <v>161</v>
      </c>
      <c r="B63" s="11">
        <v>6</v>
      </c>
      <c r="C63" s="5" t="s">
        <v>248</v>
      </c>
      <c r="D63" s="5" t="s">
        <v>249</v>
      </c>
      <c r="E63" s="5">
        <v>0</v>
      </c>
      <c r="F63" s="5" t="s">
        <v>236</v>
      </c>
      <c r="G63" s="5" t="s">
        <v>250</v>
      </c>
      <c r="H63" s="5" t="s">
        <v>251</v>
      </c>
    </row>
    <row r="64" spans="1:8">
      <c r="A64" s="11" t="s">
        <v>161</v>
      </c>
      <c r="B64" s="11">
        <v>7</v>
      </c>
      <c r="C64" s="5" t="s">
        <v>287</v>
      </c>
      <c r="D64" s="5" t="s">
        <v>267</v>
      </c>
      <c r="E64" s="5">
        <v>0</v>
      </c>
      <c r="F64" s="5" t="s">
        <v>236</v>
      </c>
      <c r="G64" s="5" t="s">
        <v>268</v>
      </c>
      <c r="H64" s="5" t="s">
        <v>269</v>
      </c>
    </row>
    <row r="65" spans="1:8">
      <c r="A65" s="11" t="s">
        <v>161</v>
      </c>
      <c r="B65" s="11">
        <v>8</v>
      </c>
      <c r="C65" s="5" t="s">
        <v>252</v>
      </c>
      <c r="D65" s="5" t="s">
        <v>249</v>
      </c>
      <c r="E65" s="5">
        <v>0</v>
      </c>
      <c r="F65" s="5" t="s">
        <v>236</v>
      </c>
      <c r="G65" s="5" t="s">
        <v>253</v>
      </c>
      <c r="H65" s="5" t="s">
        <v>254</v>
      </c>
    </row>
    <row r="66" spans="1:8">
      <c r="A66" s="11" t="s">
        <v>71</v>
      </c>
      <c r="B66" s="11">
        <v>1</v>
      </c>
      <c r="C66" s="5" t="s">
        <v>299</v>
      </c>
      <c r="D66" s="5" t="s">
        <v>226</v>
      </c>
      <c r="E66" s="5">
        <v>1</v>
      </c>
      <c r="F66" s="5" t="s">
        <v>227</v>
      </c>
      <c r="G66" s="5" t="s">
        <v>228</v>
      </c>
      <c r="H66" s="5" t="s">
        <v>229</v>
      </c>
    </row>
    <row r="67" spans="1:8">
      <c r="A67" s="11" t="s">
        <v>71</v>
      </c>
      <c r="B67" s="11">
        <v>2</v>
      </c>
      <c r="C67" s="5" t="s">
        <v>281</v>
      </c>
      <c r="D67" s="5" t="s">
        <v>226</v>
      </c>
      <c r="E67" s="5">
        <v>1</v>
      </c>
      <c r="F67" s="5" t="s">
        <v>236</v>
      </c>
      <c r="G67" s="5" t="s">
        <v>237</v>
      </c>
      <c r="H67" s="5" t="s">
        <v>296</v>
      </c>
    </row>
    <row r="68" spans="1:8" ht="25.2">
      <c r="A68" s="11" t="s">
        <v>71</v>
      </c>
      <c r="B68" s="11">
        <v>3</v>
      </c>
      <c r="C68" s="5" t="s">
        <v>300</v>
      </c>
      <c r="D68" s="5" t="s">
        <v>226</v>
      </c>
      <c r="E68" s="5"/>
      <c r="F68" s="5" t="s">
        <v>236</v>
      </c>
      <c r="G68" s="5" t="s">
        <v>237</v>
      </c>
      <c r="H68" s="5" t="s">
        <v>296</v>
      </c>
    </row>
    <row r="69" spans="1:8">
      <c r="A69" s="11" t="s">
        <v>71</v>
      </c>
      <c r="B69" s="11">
        <v>4</v>
      </c>
      <c r="C69" s="5" t="s">
        <v>298</v>
      </c>
      <c r="D69" s="5" t="s">
        <v>271</v>
      </c>
      <c r="E69" s="5">
        <v>1</v>
      </c>
      <c r="F69" s="5" t="s">
        <v>227</v>
      </c>
      <c r="G69" s="5" t="s">
        <v>272</v>
      </c>
      <c r="H69" s="5" t="s">
        <v>284</v>
      </c>
    </row>
    <row r="70" spans="1:8">
      <c r="A70" s="11" t="s">
        <v>71</v>
      </c>
      <c r="B70" s="11">
        <v>5</v>
      </c>
      <c r="C70" s="5" t="s">
        <v>285</v>
      </c>
      <c r="D70" s="5" t="s">
        <v>245</v>
      </c>
      <c r="E70" s="5">
        <v>1</v>
      </c>
      <c r="F70" s="5" t="s">
        <v>227</v>
      </c>
      <c r="G70" s="5" t="s">
        <v>246</v>
      </c>
      <c r="H70" s="5" t="s">
        <v>274</v>
      </c>
    </row>
    <row r="71" spans="1:8">
      <c r="A71" s="11" t="s">
        <v>71</v>
      </c>
      <c r="B71" s="11">
        <v>6</v>
      </c>
      <c r="C71" s="5" t="s">
        <v>248</v>
      </c>
      <c r="D71" s="5" t="s">
        <v>249</v>
      </c>
      <c r="E71" s="5">
        <v>0</v>
      </c>
      <c r="F71" s="5" t="s">
        <v>236</v>
      </c>
      <c r="G71" s="5" t="s">
        <v>250</v>
      </c>
      <c r="H71" s="5" t="s">
        <v>251</v>
      </c>
    </row>
    <row r="72" spans="1:8">
      <c r="A72" s="11" t="s">
        <v>71</v>
      </c>
      <c r="B72" s="11">
        <v>7</v>
      </c>
      <c r="C72" s="5" t="s">
        <v>301</v>
      </c>
      <c r="D72" s="5" t="s">
        <v>267</v>
      </c>
      <c r="E72" s="5">
        <v>0</v>
      </c>
      <c r="F72" s="5" t="s">
        <v>236</v>
      </c>
      <c r="G72" s="5" t="s">
        <v>268</v>
      </c>
      <c r="H72" s="5" t="s">
        <v>269</v>
      </c>
    </row>
    <row r="73" spans="1:8">
      <c r="A73" s="11" t="s">
        <v>71</v>
      </c>
      <c r="B73" s="11">
        <v>8</v>
      </c>
      <c r="C73" s="5" t="s">
        <v>252</v>
      </c>
      <c r="D73" s="5" t="s">
        <v>249</v>
      </c>
      <c r="E73" s="5">
        <v>0</v>
      </c>
      <c r="F73" s="5" t="s">
        <v>236</v>
      </c>
      <c r="G73" s="5" t="s">
        <v>253</v>
      </c>
      <c r="H73" s="5" t="s">
        <v>254</v>
      </c>
    </row>
    <row r="74" spans="1:8">
      <c r="A74" s="11" t="s">
        <v>168</v>
      </c>
      <c r="B74" s="11">
        <v>1</v>
      </c>
      <c r="C74" s="5" t="s">
        <v>302</v>
      </c>
      <c r="D74" s="5" t="s">
        <v>226</v>
      </c>
      <c r="E74" s="5">
        <v>1</v>
      </c>
      <c r="F74" s="5" t="s">
        <v>227</v>
      </c>
      <c r="G74" s="5" t="s">
        <v>228</v>
      </c>
      <c r="H74" s="5" t="s">
        <v>229</v>
      </c>
    </row>
    <row r="75" spans="1:8">
      <c r="A75" s="11" t="s">
        <v>168</v>
      </c>
      <c r="B75" s="11">
        <v>2</v>
      </c>
      <c r="C75" s="5" t="s">
        <v>295</v>
      </c>
      <c r="D75" s="5" t="s">
        <v>226</v>
      </c>
      <c r="E75" s="5">
        <v>1</v>
      </c>
      <c r="F75" s="5" t="s">
        <v>236</v>
      </c>
      <c r="G75" s="5" t="s">
        <v>237</v>
      </c>
      <c r="H75" s="5" t="s">
        <v>296</v>
      </c>
    </row>
    <row r="76" spans="1:8">
      <c r="A76" s="11" t="s">
        <v>168</v>
      </c>
      <c r="B76" s="11">
        <v>3</v>
      </c>
      <c r="C76" s="5" t="s">
        <v>297</v>
      </c>
      <c r="D76" s="5" t="s">
        <v>226</v>
      </c>
      <c r="E76" s="5"/>
      <c r="F76" s="5" t="s">
        <v>236</v>
      </c>
      <c r="G76" s="5" t="s">
        <v>237</v>
      </c>
      <c r="H76" s="5" t="s">
        <v>296</v>
      </c>
    </row>
    <row r="77" spans="1:8">
      <c r="A77" s="11" t="s">
        <v>168</v>
      </c>
      <c r="B77" s="11">
        <v>4</v>
      </c>
      <c r="C77" s="5" t="s">
        <v>298</v>
      </c>
      <c r="D77" s="5" t="s">
        <v>271</v>
      </c>
      <c r="E77" s="5">
        <v>1</v>
      </c>
      <c r="F77" s="5" t="s">
        <v>227</v>
      </c>
      <c r="G77" s="5" t="s">
        <v>272</v>
      </c>
      <c r="H77" s="5" t="s">
        <v>284</v>
      </c>
    </row>
    <row r="78" spans="1:8">
      <c r="A78" s="11" t="s">
        <v>168</v>
      </c>
      <c r="B78" s="11">
        <v>5</v>
      </c>
      <c r="C78" s="5" t="s">
        <v>285</v>
      </c>
      <c r="D78" s="5" t="s">
        <v>245</v>
      </c>
      <c r="E78" s="5">
        <v>1</v>
      </c>
      <c r="F78" s="5" t="s">
        <v>227</v>
      </c>
      <c r="G78" s="5" t="s">
        <v>246</v>
      </c>
      <c r="H78" s="5" t="s">
        <v>274</v>
      </c>
    </row>
    <row r="79" spans="1:8">
      <c r="A79" s="11" t="s">
        <v>168</v>
      </c>
      <c r="B79" s="11">
        <v>6</v>
      </c>
      <c r="C79" s="5" t="s">
        <v>248</v>
      </c>
      <c r="D79" s="5" t="s">
        <v>249</v>
      </c>
      <c r="E79" s="5">
        <v>0</v>
      </c>
      <c r="F79" s="5" t="s">
        <v>236</v>
      </c>
      <c r="G79" s="5" t="s">
        <v>250</v>
      </c>
      <c r="H79" s="5" t="s">
        <v>251</v>
      </c>
    </row>
    <row r="80" spans="1:8">
      <c r="A80" s="11" t="s">
        <v>168</v>
      </c>
      <c r="B80" s="11">
        <v>7</v>
      </c>
      <c r="C80" s="5" t="s">
        <v>287</v>
      </c>
      <c r="D80" s="5" t="s">
        <v>267</v>
      </c>
      <c r="E80" s="5">
        <v>0</v>
      </c>
      <c r="F80" s="5" t="s">
        <v>236</v>
      </c>
      <c r="G80" s="5" t="s">
        <v>268</v>
      </c>
      <c r="H80" s="5" t="s">
        <v>269</v>
      </c>
    </row>
    <row r="81" spans="1:8">
      <c r="A81" s="11" t="s">
        <v>168</v>
      </c>
      <c r="B81" s="11">
        <v>8</v>
      </c>
      <c r="C81" s="5" t="s">
        <v>252</v>
      </c>
      <c r="D81" s="5" t="s">
        <v>249</v>
      </c>
      <c r="E81" s="5">
        <v>0</v>
      </c>
      <c r="F81" s="5" t="s">
        <v>236</v>
      </c>
      <c r="G81" s="5" t="s">
        <v>253</v>
      </c>
      <c r="H81" s="5" t="s">
        <v>254</v>
      </c>
    </row>
    <row r="82" spans="1:8">
      <c r="A82" s="11" t="s">
        <v>171</v>
      </c>
      <c r="B82" s="11">
        <v>1</v>
      </c>
      <c r="C82" s="5" t="s">
        <v>303</v>
      </c>
      <c r="D82" s="5" t="s">
        <v>260</v>
      </c>
      <c r="E82" s="5">
        <v>1</v>
      </c>
      <c r="F82" s="5" t="s">
        <v>227</v>
      </c>
      <c r="G82" s="5" t="s">
        <v>228</v>
      </c>
      <c r="H82" s="5" t="s">
        <v>229</v>
      </c>
    </row>
    <row r="83" spans="1:8">
      <c r="A83" s="11" t="s">
        <v>171</v>
      </c>
      <c r="B83" s="11">
        <v>2</v>
      </c>
      <c r="C83" s="5" t="s">
        <v>304</v>
      </c>
      <c r="D83" s="5" t="s">
        <v>231</v>
      </c>
      <c r="E83" s="5">
        <v>12</v>
      </c>
      <c r="F83" s="5" t="s">
        <v>227</v>
      </c>
      <c r="G83" s="5" t="s">
        <v>232</v>
      </c>
      <c r="H83" s="5" t="s">
        <v>305</v>
      </c>
    </row>
    <row r="84" spans="1:8">
      <c r="A84" s="11" t="s">
        <v>171</v>
      </c>
      <c r="B84" s="11">
        <v>3</v>
      </c>
      <c r="C84" s="5" t="s">
        <v>263</v>
      </c>
      <c r="D84" s="5" t="s">
        <v>249</v>
      </c>
      <c r="E84" s="5"/>
      <c r="F84" s="5" t="s">
        <v>227</v>
      </c>
      <c r="G84" s="5" t="s">
        <v>264</v>
      </c>
      <c r="H84" s="5" t="s">
        <v>265</v>
      </c>
    </row>
    <row r="85" spans="1:8">
      <c r="A85" s="11" t="s">
        <v>171</v>
      </c>
      <c r="B85" s="11">
        <v>4</v>
      </c>
      <c r="C85" s="5" t="s">
        <v>306</v>
      </c>
      <c r="D85" s="5" t="s">
        <v>249</v>
      </c>
      <c r="E85" s="5"/>
      <c r="F85" s="5" t="s">
        <v>236</v>
      </c>
      <c r="G85" s="5" t="s">
        <v>237</v>
      </c>
      <c r="H85" s="5" t="s">
        <v>307</v>
      </c>
    </row>
    <row r="86" spans="1:8">
      <c r="A86" s="11" t="s">
        <v>171</v>
      </c>
      <c r="B86" s="11">
        <v>5</v>
      </c>
      <c r="C86" s="5" t="s">
        <v>308</v>
      </c>
      <c r="D86" s="5" t="s">
        <v>309</v>
      </c>
      <c r="E86" s="5"/>
      <c r="F86" s="5" t="s">
        <v>236</v>
      </c>
      <c r="G86" s="5" t="s">
        <v>237</v>
      </c>
      <c r="H86" s="5" t="s">
        <v>310</v>
      </c>
    </row>
    <row r="87" spans="1:8">
      <c r="A87" s="11" t="s">
        <v>171</v>
      </c>
      <c r="B87" s="11">
        <v>6</v>
      </c>
      <c r="C87" s="5" t="s">
        <v>311</v>
      </c>
      <c r="D87" s="5" t="s">
        <v>267</v>
      </c>
      <c r="E87" s="5">
        <v>0</v>
      </c>
      <c r="F87" s="5" t="s">
        <v>236</v>
      </c>
      <c r="G87" s="5" t="s">
        <v>268</v>
      </c>
      <c r="H87" s="5" t="s">
        <v>312</v>
      </c>
    </row>
    <row r="88" spans="1:8">
      <c r="A88" s="11" t="s">
        <v>171</v>
      </c>
      <c r="B88" s="11">
        <v>7</v>
      </c>
      <c r="C88" s="5" t="s">
        <v>244</v>
      </c>
      <c r="D88" s="5" t="s">
        <v>245</v>
      </c>
      <c r="E88" s="5">
        <v>1</v>
      </c>
      <c r="F88" s="5" t="s">
        <v>227</v>
      </c>
      <c r="G88" s="5" t="s">
        <v>246</v>
      </c>
      <c r="H88" s="5" t="s">
        <v>313</v>
      </c>
    </row>
    <row r="89" spans="1:8">
      <c r="A89" s="11" t="s">
        <v>171</v>
      </c>
      <c r="B89" s="11">
        <v>8</v>
      </c>
      <c r="C89" s="5" t="s">
        <v>248</v>
      </c>
      <c r="D89" s="5" t="s">
        <v>249</v>
      </c>
      <c r="E89" s="5">
        <v>0</v>
      </c>
      <c r="F89" s="5" t="s">
        <v>236</v>
      </c>
      <c r="G89" s="5" t="s">
        <v>250</v>
      </c>
      <c r="H89" s="5" t="s">
        <v>251</v>
      </c>
    </row>
    <row r="90" spans="1:8">
      <c r="A90" s="11" t="s">
        <v>175</v>
      </c>
      <c r="B90" s="11">
        <v>1</v>
      </c>
      <c r="C90" s="5" t="s">
        <v>314</v>
      </c>
      <c r="D90" s="5" t="s">
        <v>260</v>
      </c>
      <c r="E90" s="5">
        <v>1</v>
      </c>
      <c r="F90" s="5" t="s">
        <v>227</v>
      </c>
      <c r="G90" s="5" t="s">
        <v>228</v>
      </c>
      <c r="H90" s="5" t="s">
        <v>229</v>
      </c>
    </row>
    <row r="91" spans="1:8">
      <c r="A91" s="11" t="s">
        <v>175</v>
      </c>
      <c r="B91" s="11">
        <v>2</v>
      </c>
      <c r="C91" s="5" t="s">
        <v>304</v>
      </c>
      <c r="D91" s="5" t="s">
        <v>231</v>
      </c>
      <c r="E91" s="5">
        <v>12</v>
      </c>
      <c r="F91" s="5" t="s">
        <v>227</v>
      </c>
      <c r="G91" s="5" t="s">
        <v>232</v>
      </c>
      <c r="H91" s="5" t="s">
        <v>305</v>
      </c>
    </row>
    <row r="92" spans="1:8">
      <c r="A92" s="11" t="s">
        <v>175</v>
      </c>
      <c r="B92" s="11">
        <v>3</v>
      </c>
      <c r="C92" s="5" t="s">
        <v>263</v>
      </c>
      <c r="D92" s="5" t="s">
        <v>249</v>
      </c>
      <c r="E92" s="5"/>
      <c r="F92" s="5" t="s">
        <v>227</v>
      </c>
      <c r="G92" s="5" t="s">
        <v>264</v>
      </c>
      <c r="H92" s="5" t="s">
        <v>265</v>
      </c>
    </row>
    <row r="93" spans="1:8">
      <c r="A93" s="11" t="s">
        <v>175</v>
      </c>
      <c r="B93" s="11">
        <v>4</v>
      </c>
      <c r="C93" s="5" t="s">
        <v>306</v>
      </c>
      <c r="D93" s="5" t="s">
        <v>249</v>
      </c>
      <c r="E93" s="5"/>
      <c r="F93" s="5" t="s">
        <v>236</v>
      </c>
      <c r="G93" s="5" t="s">
        <v>237</v>
      </c>
      <c r="H93" s="5" t="s">
        <v>307</v>
      </c>
    </row>
    <row r="94" spans="1:8">
      <c r="A94" s="11" t="s">
        <v>175</v>
      </c>
      <c r="B94" s="11">
        <v>5</v>
      </c>
      <c r="C94" s="5" t="s">
        <v>308</v>
      </c>
      <c r="D94" s="5" t="s">
        <v>309</v>
      </c>
      <c r="E94" s="5"/>
      <c r="F94" s="5" t="s">
        <v>236</v>
      </c>
      <c r="G94" s="5" t="s">
        <v>237</v>
      </c>
      <c r="H94" s="5" t="s">
        <v>310</v>
      </c>
    </row>
    <row r="95" spans="1:8">
      <c r="A95" s="11" t="s">
        <v>175</v>
      </c>
      <c r="B95" s="11">
        <v>6</v>
      </c>
      <c r="C95" s="5" t="s">
        <v>311</v>
      </c>
      <c r="D95" s="5" t="s">
        <v>267</v>
      </c>
      <c r="E95" s="5">
        <v>0</v>
      </c>
      <c r="F95" s="5" t="s">
        <v>236</v>
      </c>
      <c r="G95" s="5" t="s">
        <v>268</v>
      </c>
      <c r="H95" s="5" t="s">
        <v>312</v>
      </c>
    </row>
    <row r="96" spans="1:8">
      <c r="A96" s="11" t="s">
        <v>175</v>
      </c>
      <c r="B96" s="11">
        <v>7</v>
      </c>
      <c r="C96" s="5" t="s">
        <v>244</v>
      </c>
      <c r="D96" s="5" t="s">
        <v>245</v>
      </c>
      <c r="E96" s="5">
        <v>1</v>
      </c>
      <c r="F96" s="5" t="s">
        <v>227</v>
      </c>
      <c r="G96" s="5" t="s">
        <v>246</v>
      </c>
      <c r="H96" s="5" t="s">
        <v>313</v>
      </c>
    </row>
    <row r="97" spans="1:8">
      <c r="A97" s="11" t="s">
        <v>175</v>
      </c>
      <c r="B97" s="11">
        <v>8</v>
      </c>
      <c r="C97" s="5" t="s">
        <v>248</v>
      </c>
      <c r="D97" s="5" t="s">
        <v>249</v>
      </c>
      <c r="E97" s="5">
        <v>0</v>
      </c>
      <c r="F97" s="5" t="s">
        <v>236</v>
      </c>
      <c r="G97" s="5" t="s">
        <v>250</v>
      </c>
      <c r="H97" s="5" t="s">
        <v>251</v>
      </c>
    </row>
    <row r="98" spans="1:8">
      <c r="A98" s="11" t="s">
        <v>178</v>
      </c>
      <c r="B98" s="11">
        <v>1</v>
      </c>
      <c r="C98" s="5" t="s">
        <v>315</v>
      </c>
      <c r="D98" s="5" t="s">
        <v>260</v>
      </c>
      <c r="E98" s="5">
        <v>1</v>
      </c>
      <c r="F98" s="5" t="s">
        <v>227</v>
      </c>
      <c r="G98" s="5" t="s">
        <v>228</v>
      </c>
      <c r="H98" s="5" t="s">
        <v>229</v>
      </c>
    </row>
    <row r="99" spans="1:8">
      <c r="A99" s="11" t="s">
        <v>178</v>
      </c>
      <c r="B99" s="11">
        <v>2</v>
      </c>
      <c r="C99" s="5" t="s">
        <v>304</v>
      </c>
      <c r="D99" s="5" t="s">
        <v>231</v>
      </c>
      <c r="E99" s="5">
        <v>12</v>
      </c>
      <c r="F99" s="5" t="s">
        <v>227</v>
      </c>
      <c r="G99" s="5" t="s">
        <v>232</v>
      </c>
      <c r="H99" s="5" t="s">
        <v>305</v>
      </c>
    </row>
    <row r="100" spans="1:8">
      <c r="A100" s="11" t="s">
        <v>178</v>
      </c>
      <c r="B100" s="11">
        <v>3</v>
      </c>
      <c r="C100" s="5" t="s">
        <v>263</v>
      </c>
      <c r="D100" s="5" t="s">
        <v>249</v>
      </c>
      <c r="E100" s="5"/>
      <c r="F100" s="5" t="s">
        <v>227</v>
      </c>
      <c r="G100" s="5" t="s">
        <v>264</v>
      </c>
      <c r="H100" s="5" t="s">
        <v>265</v>
      </c>
    </row>
    <row r="101" spans="1:8">
      <c r="A101" s="11" t="s">
        <v>178</v>
      </c>
      <c r="B101" s="11">
        <v>4</v>
      </c>
      <c r="C101" s="5" t="s">
        <v>306</v>
      </c>
      <c r="D101" s="5" t="s">
        <v>249</v>
      </c>
      <c r="E101" s="5"/>
      <c r="F101" s="5" t="s">
        <v>236</v>
      </c>
      <c r="G101" s="5" t="s">
        <v>237</v>
      </c>
      <c r="H101" s="5" t="s">
        <v>307</v>
      </c>
    </row>
    <row r="102" spans="1:8">
      <c r="A102" s="11" t="s">
        <v>178</v>
      </c>
      <c r="B102" s="11">
        <v>5</v>
      </c>
      <c r="C102" s="5" t="s">
        <v>308</v>
      </c>
      <c r="D102" s="5" t="s">
        <v>309</v>
      </c>
      <c r="E102" s="5"/>
      <c r="F102" s="5" t="s">
        <v>236</v>
      </c>
      <c r="G102" s="5" t="s">
        <v>237</v>
      </c>
      <c r="H102" s="5" t="s">
        <v>310</v>
      </c>
    </row>
    <row r="103" spans="1:8">
      <c r="A103" s="11" t="s">
        <v>178</v>
      </c>
      <c r="B103" s="11">
        <v>6</v>
      </c>
      <c r="C103" s="5" t="s">
        <v>311</v>
      </c>
      <c r="D103" s="5" t="s">
        <v>267</v>
      </c>
      <c r="E103" s="5">
        <v>0</v>
      </c>
      <c r="F103" s="5" t="s">
        <v>236</v>
      </c>
      <c r="G103" s="5" t="s">
        <v>268</v>
      </c>
      <c r="H103" s="5" t="s">
        <v>312</v>
      </c>
    </row>
    <row r="104" spans="1:8">
      <c r="A104" s="11" t="s">
        <v>178</v>
      </c>
      <c r="B104" s="11">
        <v>7</v>
      </c>
      <c r="C104" s="5" t="s">
        <v>244</v>
      </c>
      <c r="D104" s="5" t="s">
        <v>245</v>
      </c>
      <c r="E104" s="5">
        <v>1</v>
      </c>
      <c r="F104" s="5" t="s">
        <v>227</v>
      </c>
      <c r="G104" s="5" t="s">
        <v>246</v>
      </c>
      <c r="H104" s="5" t="s">
        <v>313</v>
      </c>
    </row>
    <row r="105" spans="1:8">
      <c r="A105" s="11" t="s">
        <v>178</v>
      </c>
      <c r="B105" s="11">
        <v>8</v>
      </c>
      <c r="C105" s="5" t="s">
        <v>248</v>
      </c>
      <c r="D105" s="5" t="s">
        <v>249</v>
      </c>
      <c r="E105" s="5">
        <v>0</v>
      </c>
      <c r="F105" s="5" t="s">
        <v>236</v>
      </c>
      <c r="G105" s="5" t="s">
        <v>250</v>
      </c>
      <c r="H105" s="5" t="s">
        <v>251</v>
      </c>
    </row>
    <row r="106" spans="1:8">
      <c r="A106" s="11" t="s">
        <v>181</v>
      </c>
      <c r="B106" s="11">
        <v>1</v>
      </c>
      <c r="C106" s="5" t="s">
        <v>316</v>
      </c>
      <c r="D106" s="5" t="s">
        <v>260</v>
      </c>
      <c r="E106" s="5">
        <v>1</v>
      </c>
      <c r="F106" s="5" t="s">
        <v>227</v>
      </c>
      <c r="G106" s="5" t="s">
        <v>228</v>
      </c>
      <c r="H106" s="5" t="s">
        <v>229</v>
      </c>
    </row>
    <row r="107" spans="1:8">
      <c r="A107" s="11" t="s">
        <v>181</v>
      </c>
      <c r="B107" s="11">
        <v>2</v>
      </c>
      <c r="C107" s="5" t="s">
        <v>304</v>
      </c>
      <c r="D107" s="5" t="s">
        <v>231</v>
      </c>
      <c r="E107" s="5">
        <v>12</v>
      </c>
      <c r="F107" s="5" t="s">
        <v>227</v>
      </c>
      <c r="G107" s="5" t="s">
        <v>232</v>
      </c>
      <c r="H107" s="5" t="s">
        <v>305</v>
      </c>
    </row>
    <row r="108" spans="1:8">
      <c r="A108" s="11" t="s">
        <v>181</v>
      </c>
      <c r="B108" s="11">
        <v>3</v>
      </c>
      <c r="C108" s="5" t="s">
        <v>263</v>
      </c>
      <c r="D108" s="5" t="s">
        <v>249</v>
      </c>
      <c r="E108" s="5"/>
      <c r="F108" s="5" t="s">
        <v>227</v>
      </c>
      <c r="G108" s="5" t="s">
        <v>264</v>
      </c>
      <c r="H108" s="5" t="s">
        <v>265</v>
      </c>
    </row>
    <row r="109" spans="1:8">
      <c r="A109" s="11" t="s">
        <v>181</v>
      </c>
      <c r="B109" s="11">
        <v>4</v>
      </c>
      <c r="C109" s="5" t="s">
        <v>306</v>
      </c>
      <c r="D109" s="5" t="s">
        <v>249</v>
      </c>
      <c r="E109" s="5"/>
      <c r="F109" s="5" t="s">
        <v>236</v>
      </c>
      <c r="G109" s="5" t="s">
        <v>237</v>
      </c>
      <c r="H109" s="5" t="s">
        <v>307</v>
      </c>
    </row>
    <row r="110" spans="1:8">
      <c r="A110" s="11" t="s">
        <v>181</v>
      </c>
      <c r="B110" s="11">
        <v>5</v>
      </c>
      <c r="C110" s="5" t="s">
        <v>308</v>
      </c>
      <c r="D110" s="5" t="s">
        <v>309</v>
      </c>
      <c r="E110" s="5"/>
      <c r="F110" s="5" t="s">
        <v>236</v>
      </c>
      <c r="G110" s="5" t="s">
        <v>237</v>
      </c>
      <c r="H110" s="5" t="s">
        <v>310</v>
      </c>
    </row>
    <row r="111" spans="1:8">
      <c r="A111" s="11" t="s">
        <v>181</v>
      </c>
      <c r="B111" s="11">
        <v>6</v>
      </c>
      <c r="C111" s="5" t="s">
        <v>311</v>
      </c>
      <c r="D111" s="5" t="s">
        <v>267</v>
      </c>
      <c r="E111" s="5">
        <v>0</v>
      </c>
      <c r="F111" s="5" t="s">
        <v>236</v>
      </c>
      <c r="G111" s="5" t="s">
        <v>268</v>
      </c>
      <c r="H111" s="5" t="s">
        <v>312</v>
      </c>
    </row>
    <row r="112" spans="1:8">
      <c r="A112" s="11" t="s">
        <v>181</v>
      </c>
      <c r="B112" s="11">
        <v>7</v>
      </c>
      <c r="C112" s="5" t="s">
        <v>244</v>
      </c>
      <c r="D112" s="5" t="s">
        <v>245</v>
      </c>
      <c r="E112" s="5">
        <v>1</v>
      </c>
      <c r="F112" s="5" t="s">
        <v>227</v>
      </c>
      <c r="G112" s="5" t="s">
        <v>246</v>
      </c>
      <c r="H112" s="5" t="s">
        <v>313</v>
      </c>
    </row>
    <row r="113" spans="1:8">
      <c r="A113" s="11" t="s">
        <v>181</v>
      </c>
      <c r="B113" s="11">
        <v>8</v>
      </c>
      <c r="C113" s="5" t="s">
        <v>248</v>
      </c>
      <c r="D113" s="5" t="s">
        <v>249</v>
      </c>
      <c r="E113" s="5">
        <v>0</v>
      </c>
      <c r="F113" s="5" t="s">
        <v>236</v>
      </c>
      <c r="G113" s="5" t="s">
        <v>250</v>
      </c>
      <c r="H113" s="5" t="s">
        <v>251</v>
      </c>
    </row>
    <row r="114" spans="1:8">
      <c r="A114" s="11" t="s">
        <v>185</v>
      </c>
      <c r="B114" s="11">
        <v>1</v>
      </c>
      <c r="C114" s="5" t="s">
        <v>317</v>
      </c>
      <c r="D114" s="5" t="s">
        <v>226</v>
      </c>
      <c r="E114" s="5">
        <v>1</v>
      </c>
      <c r="F114" s="5" t="s">
        <v>227</v>
      </c>
      <c r="G114" s="5" t="s">
        <v>228</v>
      </c>
      <c r="H114" s="5" t="s">
        <v>229</v>
      </c>
    </row>
    <row r="115" spans="1:8">
      <c r="A115" s="11" t="s">
        <v>185</v>
      </c>
      <c r="B115" s="11">
        <v>2</v>
      </c>
      <c r="C115" s="5" t="s">
        <v>230</v>
      </c>
      <c r="D115" s="5" t="s">
        <v>231</v>
      </c>
      <c r="E115" s="5">
        <v>12</v>
      </c>
      <c r="F115" s="5" t="s">
        <v>227</v>
      </c>
      <c r="G115" s="5" t="s">
        <v>232</v>
      </c>
      <c r="H115" s="5" t="s">
        <v>233</v>
      </c>
    </row>
    <row r="116" spans="1:8">
      <c r="A116" s="11" t="s">
        <v>185</v>
      </c>
      <c r="B116" s="11">
        <v>3</v>
      </c>
      <c r="C116" s="5" t="s">
        <v>234</v>
      </c>
      <c r="D116" s="5" t="s">
        <v>235</v>
      </c>
      <c r="E116" s="5">
        <v>40</v>
      </c>
      <c r="F116" s="5" t="s">
        <v>236</v>
      </c>
      <c r="G116" s="5" t="s">
        <v>237</v>
      </c>
      <c r="H116" s="5" t="s">
        <v>238</v>
      </c>
    </row>
    <row r="117" spans="1:8">
      <c r="A117" s="11" t="s">
        <v>185</v>
      </c>
      <c r="B117" s="11">
        <v>4</v>
      </c>
      <c r="C117" s="5" t="s">
        <v>239</v>
      </c>
      <c r="D117" s="5" t="s">
        <v>226</v>
      </c>
      <c r="E117" s="5"/>
      <c r="F117" s="5" t="s">
        <v>236</v>
      </c>
      <c r="G117" s="5" t="s">
        <v>237</v>
      </c>
      <c r="H117" s="5" t="s">
        <v>240</v>
      </c>
    </row>
    <row r="118" spans="1:8">
      <c r="A118" s="11" t="s">
        <v>185</v>
      </c>
      <c r="B118" s="11">
        <v>5</v>
      </c>
      <c r="C118" s="5" t="s">
        <v>241</v>
      </c>
      <c r="D118" s="5" t="s">
        <v>242</v>
      </c>
      <c r="E118" s="5"/>
      <c r="F118" s="5" t="s">
        <v>236</v>
      </c>
      <c r="G118" s="5" t="s">
        <v>237</v>
      </c>
      <c r="H118" s="5" t="s">
        <v>243</v>
      </c>
    </row>
    <row r="119" spans="1:8">
      <c r="A119" s="11" t="s">
        <v>185</v>
      </c>
      <c r="B119" s="11">
        <v>6</v>
      </c>
      <c r="C119" s="5" t="s">
        <v>244</v>
      </c>
      <c r="D119" s="5" t="s">
        <v>245</v>
      </c>
      <c r="E119" s="5">
        <v>1</v>
      </c>
      <c r="F119" s="5" t="s">
        <v>227</v>
      </c>
      <c r="G119" s="5" t="s">
        <v>246</v>
      </c>
      <c r="H119" s="5" t="s">
        <v>247</v>
      </c>
    </row>
    <row r="120" spans="1:8">
      <c r="A120" s="11" t="s">
        <v>185</v>
      </c>
      <c r="B120" s="11">
        <v>7</v>
      </c>
      <c r="C120" s="5" t="s">
        <v>248</v>
      </c>
      <c r="D120" s="5" t="s">
        <v>249</v>
      </c>
      <c r="E120" s="5">
        <v>0</v>
      </c>
      <c r="F120" s="5" t="s">
        <v>236</v>
      </c>
      <c r="G120" s="5" t="s">
        <v>250</v>
      </c>
      <c r="H120" s="5" t="s">
        <v>251</v>
      </c>
    </row>
    <row r="121" spans="1:8">
      <c r="A121" s="11" t="s">
        <v>185</v>
      </c>
      <c r="B121" s="11">
        <v>8</v>
      </c>
      <c r="C121" s="5" t="s">
        <v>252</v>
      </c>
      <c r="D121" s="5" t="s">
        <v>249</v>
      </c>
      <c r="E121" s="5">
        <v>0</v>
      </c>
      <c r="F121" s="5" t="s">
        <v>236</v>
      </c>
      <c r="G121" s="5" t="s">
        <v>253</v>
      </c>
      <c r="H121" s="5" t="s">
        <v>254</v>
      </c>
    </row>
    <row r="122" spans="1:8">
      <c r="A122" s="11" t="s">
        <v>188</v>
      </c>
      <c r="B122" s="11">
        <v>1</v>
      </c>
      <c r="C122" s="5" t="s">
        <v>318</v>
      </c>
      <c r="D122" s="5" t="s">
        <v>226</v>
      </c>
      <c r="E122" s="5">
        <v>1</v>
      </c>
      <c r="F122" s="5" t="s">
        <v>227</v>
      </c>
      <c r="G122" s="5" t="s">
        <v>228</v>
      </c>
      <c r="H122" s="5" t="s">
        <v>229</v>
      </c>
    </row>
    <row r="123" spans="1:8">
      <c r="A123" s="11" t="s">
        <v>188</v>
      </c>
      <c r="B123" s="11">
        <v>2</v>
      </c>
      <c r="C123" s="5" t="s">
        <v>263</v>
      </c>
      <c r="D123" s="5" t="s">
        <v>249</v>
      </c>
      <c r="E123" s="5"/>
      <c r="F123" s="5" t="s">
        <v>227</v>
      </c>
      <c r="G123" s="5" t="s">
        <v>264</v>
      </c>
      <c r="H123" s="5" t="s">
        <v>265</v>
      </c>
    </row>
    <row r="124" spans="1:8">
      <c r="A124" s="11" t="s">
        <v>188</v>
      </c>
      <c r="B124" s="11">
        <v>3</v>
      </c>
      <c r="C124" s="5" t="s">
        <v>319</v>
      </c>
      <c r="D124" s="5" t="s">
        <v>267</v>
      </c>
      <c r="E124" s="5">
        <v>0</v>
      </c>
      <c r="F124" s="5" t="s">
        <v>227</v>
      </c>
      <c r="G124" s="5" t="s">
        <v>268</v>
      </c>
      <c r="H124" s="5" t="s">
        <v>320</v>
      </c>
    </row>
    <row r="125" spans="1:8">
      <c r="A125" s="11" t="s">
        <v>188</v>
      </c>
      <c r="B125" s="11">
        <v>4</v>
      </c>
      <c r="C125" s="5" t="s">
        <v>321</v>
      </c>
      <c r="D125" s="5" t="s">
        <v>231</v>
      </c>
      <c r="E125" s="5"/>
      <c r="F125" s="5" t="s">
        <v>236</v>
      </c>
      <c r="G125" s="5" t="s">
        <v>237</v>
      </c>
      <c r="H125" s="5" t="s">
        <v>322</v>
      </c>
    </row>
    <row r="126" spans="1:8">
      <c r="A126" s="11" t="s">
        <v>188</v>
      </c>
      <c r="B126" s="11">
        <v>5</v>
      </c>
      <c r="C126" s="5" t="s">
        <v>323</v>
      </c>
      <c r="D126" s="5" t="s">
        <v>226</v>
      </c>
      <c r="E126" s="5">
        <v>1</v>
      </c>
      <c r="F126" s="5" t="s">
        <v>236</v>
      </c>
      <c r="G126" s="5" t="s">
        <v>237</v>
      </c>
      <c r="H126" s="5" t="s">
        <v>324</v>
      </c>
    </row>
    <row r="127" spans="1:8">
      <c r="A127" s="11" t="s">
        <v>188</v>
      </c>
      <c r="B127" s="11">
        <v>6</v>
      </c>
      <c r="C127" s="5" t="s">
        <v>325</v>
      </c>
      <c r="D127" s="5" t="s">
        <v>271</v>
      </c>
      <c r="E127" s="5">
        <v>1</v>
      </c>
      <c r="F127" s="5" t="s">
        <v>227</v>
      </c>
      <c r="G127" s="5" t="s">
        <v>272</v>
      </c>
      <c r="H127" s="5" t="s">
        <v>273</v>
      </c>
    </row>
    <row r="128" spans="1:8">
      <c r="A128" s="11" t="s">
        <v>188</v>
      </c>
      <c r="B128" s="11">
        <v>7</v>
      </c>
      <c r="C128" s="5" t="s">
        <v>244</v>
      </c>
      <c r="D128" s="5" t="s">
        <v>245</v>
      </c>
      <c r="E128" s="5">
        <v>1</v>
      </c>
      <c r="F128" s="5" t="s">
        <v>227</v>
      </c>
      <c r="G128" s="5" t="s">
        <v>246</v>
      </c>
      <c r="H128" s="5" t="s">
        <v>326</v>
      </c>
    </row>
    <row r="129" spans="1:8">
      <c r="A129" s="11" t="s">
        <v>188</v>
      </c>
      <c r="B129" s="11">
        <v>8</v>
      </c>
      <c r="C129" s="5" t="s">
        <v>248</v>
      </c>
      <c r="D129" s="5" t="s">
        <v>249</v>
      </c>
      <c r="E129" s="5">
        <v>0</v>
      </c>
      <c r="F129" s="5" t="s">
        <v>236</v>
      </c>
      <c r="G129" s="5" t="s">
        <v>250</v>
      </c>
      <c r="H129" s="5" t="s">
        <v>251</v>
      </c>
    </row>
    <row r="130" spans="1:8">
      <c r="A130" s="11" t="s">
        <v>193</v>
      </c>
      <c r="B130" s="11">
        <v>1</v>
      </c>
      <c r="C130" s="5" t="s">
        <v>327</v>
      </c>
      <c r="D130" s="5" t="s">
        <v>226</v>
      </c>
      <c r="E130" s="5">
        <v>1</v>
      </c>
      <c r="F130" s="5" t="s">
        <v>227</v>
      </c>
      <c r="G130" s="5" t="s">
        <v>228</v>
      </c>
      <c r="H130" s="5" t="s">
        <v>229</v>
      </c>
    </row>
    <row r="131" spans="1:8">
      <c r="A131" s="11" t="s">
        <v>193</v>
      </c>
      <c r="B131" s="11">
        <v>2</v>
      </c>
      <c r="C131" s="5" t="s">
        <v>281</v>
      </c>
      <c r="D131" s="5" t="s">
        <v>226</v>
      </c>
      <c r="E131" s="5">
        <v>1</v>
      </c>
      <c r="F131" s="5" t="s">
        <v>236</v>
      </c>
      <c r="G131" s="5" t="s">
        <v>237</v>
      </c>
      <c r="H131" s="5" t="s">
        <v>296</v>
      </c>
    </row>
    <row r="132" spans="1:8" ht="25.2">
      <c r="A132" s="11" t="s">
        <v>193</v>
      </c>
      <c r="B132" s="11">
        <v>3</v>
      </c>
      <c r="C132" s="5" t="s">
        <v>300</v>
      </c>
      <c r="D132" s="5" t="s">
        <v>226</v>
      </c>
      <c r="E132" s="5"/>
      <c r="F132" s="5" t="s">
        <v>236</v>
      </c>
      <c r="G132" s="5" t="s">
        <v>237</v>
      </c>
      <c r="H132" s="5" t="s">
        <v>296</v>
      </c>
    </row>
    <row r="133" spans="1:8">
      <c r="A133" s="11" t="s">
        <v>193</v>
      </c>
      <c r="B133" s="11">
        <v>4</v>
      </c>
      <c r="C133" s="5" t="s">
        <v>298</v>
      </c>
      <c r="D133" s="5" t="s">
        <v>271</v>
      </c>
      <c r="E133" s="5">
        <v>1</v>
      </c>
      <c r="F133" s="5" t="s">
        <v>227</v>
      </c>
      <c r="G133" s="5" t="s">
        <v>272</v>
      </c>
      <c r="H133" s="5" t="s">
        <v>284</v>
      </c>
    </row>
    <row r="134" spans="1:8">
      <c r="A134" s="11" t="s">
        <v>193</v>
      </c>
      <c r="B134" s="11">
        <v>5</v>
      </c>
      <c r="C134" s="5" t="s">
        <v>285</v>
      </c>
      <c r="D134" s="5" t="s">
        <v>245</v>
      </c>
      <c r="E134" s="5">
        <v>1</v>
      </c>
      <c r="F134" s="5" t="s">
        <v>227</v>
      </c>
      <c r="G134" s="5" t="s">
        <v>246</v>
      </c>
      <c r="H134" s="5" t="s">
        <v>274</v>
      </c>
    </row>
    <row r="135" spans="1:8">
      <c r="A135" s="11" t="s">
        <v>193</v>
      </c>
      <c r="B135" s="11">
        <v>6</v>
      </c>
      <c r="C135" s="5" t="s">
        <v>248</v>
      </c>
      <c r="D135" s="5" t="s">
        <v>249</v>
      </c>
      <c r="E135" s="5">
        <v>0</v>
      </c>
      <c r="F135" s="5" t="s">
        <v>236</v>
      </c>
      <c r="G135" s="5" t="s">
        <v>250</v>
      </c>
      <c r="H135" s="5" t="s">
        <v>251</v>
      </c>
    </row>
    <row r="136" spans="1:8">
      <c r="A136" s="11" t="s">
        <v>193</v>
      </c>
      <c r="B136" s="11">
        <v>7</v>
      </c>
      <c r="C136" s="5" t="s">
        <v>301</v>
      </c>
      <c r="D136" s="5" t="s">
        <v>267</v>
      </c>
      <c r="E136" s="5">
        <v>0</v>
      </c>
      <c r="F136" s="5" t="s">
        <v>236</v>
      </c>
      <c r="G136" s="5" t="s">
        <v>268</v>
      </c>
      <c r="H136" s="5" t="s">
        <v>269</v>
      </c>
    </row>
    <row r="137" spans="1:8">
      <c r="A137" s="11" t="s">
        <v>193</v>
      </c>
      <c r="B137" s="11">
        <v>8</v>
      </c>
      <c r="C137" s="5" t="s">
        <v>252</v>
      </c>
      <c r="D137" s="5" t="s">
        <v>249</v>
      </c>
      <c r="E137" s="5">
        <v>0</v>
      </c>
      <c r="F137" s="5" t="s">
        <v>236</v>
      </c>
      <c r="G137" s="5" t="s">
        <v>253</v>
      </c>
      <c r="H137" s="5" t="s">
        <v>254</v>
      </c>
    </row>
    <row r="138" spans="1:8">
      <c r="A138" s="11" t="s">
        <v>196</v>
      </c>
      <c r="B138" s="11">
        <v>1</v>
      </c>
      <c r="C138" s="5" t="s">
        <v>257</v>
      </c>
      <c r="D138" s="5" t="s">
        <v>226</v>
      </c>
      <c r="E138" s="5">
        <v>1</v>
      </c>
      <c r="F138" s="5" t="s">
        <v>227</v>
      </c>
      <c r="G138" s="5" t="s">
        <v>228</v>
      </c>
      <c r="H138" s="5" t="s">
        <v>229</v>
      </c>
    </row>
    <row r="139" spans="1:8">
      <c r="A139" s="11" t="s">
        <v>196</v>
      </c>
      <c r="B139" s="11">
        <v>2</v>
      </c>
      <c r="C139" s="5" t="s">
        <v>263</v>
      </c>
      <c r="D139" s="5" t="s">
        <v>249</v>
      </c>
      <c r="E139" s="5"/>
      <c r="F139" s="5" t="s">
        <v>227</v>
      </c>
      <c r="G139" s="5" t="s">
        <v>264</v>
      </c>
      <c r="H139" s="5" t="s">
        <v>265</v>
      </c>
    </row>
    <row r="140" spans="1:8">
      <c r="A140" s="11" t="s">
        <v>196</v>
      </c>
      <c r="B140" s="11">
        <v>3</v>
      </c>
      <c r="C140" s="5" t="s">
        <v>319</v>
      </c>
      <c r="D140" s="5" t="s">
        <v>267</v>
      </c>
      <c r="E140" s="5">
        <v>0</v>
      </c>
      <c r="F140" s="5" t="s">
        <v>227</v>
      </c>
      <c r="G140" s="5" t="s">
        <v>268</v>
      </c>
      <c r="H140" s="5" t="s">
        <v>320</v>
      </c>
    </row>
    <row r="141" spans="1:8">
      <c r="A141" s="11" t="s">
        <v>196</v>
      </c>
      <c r="B141" s="11">
        <v>4</v>
      </c>
      <c r="C141" s="5" t="s">
        <v>328</v>
      </c>
      <c r="D141" s="5" t="s">
        <v>231</v>
      </c>
      <c r="E141" s="5"/>
      <c r="F141" s="5" t="s">
        <v>236</v>
      </c>
      <c r="G141" s="5" t="s">
        <v>237</v>
      </c>
      <c r="H141" s="5" t="s">
        <v>322</v>
      </c>
    </row>
    <row r="142" spans="1:8">
      <c r="A142" s="11" t="s">
        <v>196</v>
      </c>
      <c r="B142" s="11">
        <v>5</v>
      </c>
      <c r="C142" s="5" t="s">
        <v>323</v>
      </c>
      <c r="D142" s="5" t="s">
        <v>226</v>
      </c>
      <c r="E142" s="5">
        <v>1</v>
      </c>
      <c r="F142" s="5" t="s">
        <v>236</v>
      </c>
      <c r="G142" s="5" t="s">
        <v>237</v>
      </c>
      <c r="H142" s="5" t="s">
        <v>324</v>
      </c>
    </row>
    <row r="143" spans="1:8">
      <c r="A143" s="11" t="s">
        <v>196</v>
      </c>
      <c r="B143" s="11">
        <v>6</v>
      </c>
      <c r="C143" s="5" t="s">
        <v>325</v>
      </c>
      <c r="D143" s="5" t="s">
        <v>271</v>
      </c>
      <c r="E143" s="5">
        <v>1</v>
      </c>
      <c r="F143" s="5" t="s">
        <v>227</v>
      </c>
      <c r="G143" s="5" t="s">
        <v>272</v>
      </c>
      <c r="H143" s="5" t="s">
        <v>273</v>
      </c>
    </row>
    <row r="144" spans="1:8">
      <c r="A144" s="11" t="s">
        <v>196</v>
      </c>
      <c r="B144" s="11">
        <v>7</v>
      </c>
      <c r="C144" s="5" t="s">
        <v>244</v>
      </c>
      <c r="D144" s="5" t="s">
        <v>245</v>
      </c>
      <c r="E144" s="5">
        <v>1</v>
      </c>
      <c r="F144" s="5" t="s">
        <v>227</v>
      </c>
      <c r="G144" s="5" t="s">
        <v>246</v>
      </c>
      <c r="H144" s="5" t="s">
        <v>326</v>
      </c>
    </row>
    <row r="145" spans="1:8">
      <c r="A145" s="11" t="s">
        <v>196</v>
      </c>
      <c r="B145" s="11">
        <v>8</v>
      </c>
      <c r="C145" s="5" t="s">
        <v>248</v>
      </c>
      <c r="D145" s="5" t="s">
        <v>249</v>
      </c>
      <c r="E145" s="5">
        <v>0</v>
      </c>
      <c r="F145" s="5" t="s">
        <v>236</v>
      </c>
      <c r="G145" s="5" t="s">
        <v>250</v>
      </c>
      <c r="H145" s="5" t="s">
        <v>251</v>
      </c>
    </row>
    <row r="146" spans="1:8">
      <c r="A146" s="11" t="s">
        <v>201</v>
      </c>
      <c r="B146" s="11">
        <v>1</v>
      </c>
      <c r="C146" s="5" t="s">
        <v>318</v>
      </c>
      <c r="D146" s="5" t="s">
        <v>226</v>
      </c>
      <c r="E146" s="5">
        <v>1</v>
      </c>
      <c r="F146" s="5" t="s">
        <v>227</v>
      </c>
      <c r="G146" s="5" t="s">
        <v>228</v>
      </c>
      <c r="H146" s="5" t="s">
        <v>229</v>
      </c>
    </row>
    <row r="147" spans="1:8">
      <c r="A147" s="11" t="s">
        <v>201</v>
      </c>
      <c r="B147" s="11">
        <v>2</v>
      </c>
      <c r="C147" s="5" t="s">
        <v>263</v>
      </c>
      <c r="D147" s="5" t="s">
        <v>249</v>
      </c>
      <c r="E147" s="5"/>
      <c r="F147" s="5" t="s">
        <v>227</v>
      </c>
      <c r="G147" s="5" t="s">
        <v>264</v>
      </c>
      <c r="H147" s="5" t="s">
        <v>265</v>
      </c>
    </row>
    <row r="148" spans="1:8">
      <c r="A148" s="11" t="s">
        <v>201</v>
      </c>
      <c r="B148" s="11">
        <v>3</v>
      </c>
      <c r="C148" s="5" t="s">
        <v>319</v>
      </c>
      <c r="D148" s="5" t="s">
        <v>267</v>
      </c>
      <c r="E148" s="5">
        <v>0</v>
      </c>
      <c r="F148" s="5" t="s">
        <v>227</v>
      </c>
      <c r="G148" s="5" t="s">
        <v>268</v>
      </c>
      <c r="H148" s="5" t="s">
        <v>320</v>
      </c>
    </row>
    <row r="149" spans="1:8">
      <c r="A149" s="11" t="s">
        <v>201</v>
      </c>
      <c r="B149" s="11">
        <v>4</v>
      </c>
      <c r="C149" s="5" t="s">
        <v>321</v>
      </c>
      <c r="D149" s="5" t="s">
        <v>231</v>
      </c>
      <c r="E149" s="5"/>
      <c r="F149" s="5" t="s">
        <v>236</v>
      </c>
      <c r="G149" s="5" t="s">
        <v>237</v>
      </c>
      <c r="H149" s="5" t="s">
        <v>322</v>
      </c>
    </row>
    <row r="150" spans="1:8">
      <c r="A150" s="11" t="s">
        <v>201</v>
      </c>
      <c r="B150" s="11">
        <v>5</v>
      </c>
      <c r="C150" s="5" t="s">
        <v>323</v>
      </c>
      <c r="D150" s="5" t="s">
        <v>226</v>
      </c>
      <c r="E150" s="5">
        <v>1</v>
      </c>
      <c r="F150" s="5" t="s">
        <v>236</v>
      </c>
      <c r="G150" s="5" t="s">
        <v>237</v>
      </c>
      <c r="H150" s="5" t="s">
        <v>324</v>
      </c>
    </row>
    <row r="151" spans="1:8">
      <c r="A151" s="11" t="s">
        <v>201</v>
      </c>
      <c r="B151" s="11">
        <v>6</v>
      </c>
      <c r="C151" s="5" t="s">
        <v>325</v>
      </c>
      <c r="D151" s="5" t="s">
        <v>271</v>
      </c>
      <c r="E151" s="5">
        <v>1</v>
      </c>
      <c r="F151" s="5" t="s">
        <v>227</v>
      </c>
      <c r="G151" s="5" t="s">
        <v>272</v>
      </c>
      <c r="H151" s="5" t="s">
        <v>273</v>
      </c>
    </row>
    <row r="152" spans="1:8">
      <c r="A152" s="11" t="s">
        <v>201</v>
      </c>
      <c r="B152" s="11">
        <v>7</v>
      </c>
      <c r="C152" s="5" t="s">
        <v>244</v>
      </c>
      <c r="D152" s="5" t="s">
        <v>245</v>
      </c>
      <c r="E152" s="5">
        <v>1</v>
      </c>
      <c r="F152" s="5" t="s">
        <v>227</v>
      </c>
      <c r="G152" s="5" t="s">
        <v>246</v>
      </c>
      <c r="H152" s="5" t="s">
        <v>326</v>
      </c>
    </row>
    <row r="153" spans="1:8">
      <c r="A153" s="11" t="s">
        <v>201</v>
      </c>
      <c r="B153" s="11">
        <v>8</v>
      </c>
      <c r="C153" s="5" t="s">
        <v>248</v>
      </c>
      <c r="D153" s="5" t="s">
        <v>249</v>
      </c>
      <c r="E153" s="5">
        <v>0</v>
      </c>
      <c r="F153" s="5" t="s">
        <v>236</v>
      </c>
      <c r="G153" s="5" t="s">
        <v>250</v>
      </c>
      <c r="H153" s="5" t="s">
        <v>251</v>
      </c>
    </row>
    <row r="154" spans="1:8">
      <c r="A154" s="11" t="s">
        <v>204</v>
      </c>
      <c r="B154" s="11">
        <v>1</v>
      </c>
      <c r="C154" s="5" t="s">
        <v>257</v>
      </c>
      <c r="D154" s="5" t="s">
        <v>226</v>
      </c>
      <c r="E154" s="5">
        <v>1</v>
      </c>
      <c r="F154" s="5" t="s">
        <v>227</v>
      </c>
      <c r="G154" s="5" t="s">
        <v>228</v>
      </c>
      <c r="H154" s="5" t="s">
        <v>229</v>
      </c>
    </row>
    <row r="155" spans="1:8">
      <c r="A155" s="11" t="s">
        <v>204</v>
      </c>
      <c r="B155" s="11">
        <v>2</v>
      </c>
      <c r="C155" s="5" t="s">
        <v>329</v>
      </c>
      <c r="D155" s="5" t="s">
        <v>231</v>
      </c>
      <c r="E155" s="5">
        <v>12</v>
      </c>
      <c r="F155" s="5" t="s">
        <v>227</v>
      </c>
      <c r="G155" s="5" t="s">
        <v>232</v>
      </c>
      <c r="H155" s="5" t="s">
        <v>305</v>
      </c>
    </row>
    <row r="156" spans="1:8">
      <c r="A156" s="11" t="s">
        <v>204</v>
      </c>
      <c r="B156" s="11">
        <v>3</v>
      </c>
      <c r="C156" s="5" t="s">
        <v>330</v>
      </c>
      <c r="D156" s="5" t="s">
        <v>249</v>
      </c>
      <c r="E156" s="5"/>
      <c r="F156" s="5" t="s">
        <v>227</v>
      </c>
      <c r="G156" s="5" t="s">
        <v>264</v>
      </c>
      <c r="H156" s="5" t="s">
        <v>265</v>
      </c>
    </row>
    <row r="157" spans="1:8">
      <c r="A157" s="11" t="s">
        <v>204</v>
      </c>
      <c r="B157" s="11">
        <v>4</v>
      </c>
      <c r="C157" s="5" t="s">
        <v>331</v>
      </c>
      <c r="D157" s="5" t="s">
        <v>249</v>
      </c>
      <c r="E157" s="5"/>
      <c r="F157" s="5" t="s">
        <v>236</v>
      </c>
      <c r="G157" s="5" t="s">
        <v>237</v>
      </c>
      <c r="H157" s="5" t="s">
        <v>322</v>
      </c>
    </row>
    <row r="158" spans="1:8">
      <c r="A158" s="11" t="s">
        <v>204</v>
      </c>
      <c r="B158" s="11">
        <v>5</v>
      </c>
      <c r="C158" s="5" t="s">
        <v>319</v>
      </c>
      <c r="D158" s="5" t="s">
        <v>267</v>
      </c>
      <c r="E158" s="5">
        <v>0</v>
      </c>
      <c r="F158" s="5" t="s">
        <v>236</v>
      </c>
      <c r="G158" s="5" t="s">
        <v>268</v>
      </c>
      <c r="H158" s="5" t="s">
        <v>312</v>
      </c>
    </row>
    <row r="159" spans="1:8">
      <c r="A159" s="11" t="s">
        <v>204</v>
      </c>
      <c r="B159" s="11">
        <v>6</v>
      </c>
      <c r="C159" s="5" t="s">
        <v>244</v>
      </c>
      <c r="D159" s="5" t="s">
        <v>245</v>
      </c>
      <c r="E159" s="5">
        <v>1</v>
      </c>
      <c r="F159" s="5" t="s">
        <v>227</v>
      </c>
      <c r="G159" s="5" t="s">
        <v>246</v>
      </c>
      <c r="H159" s="5" t="s">
        <v>332</v>
      </c>
    </row>
    <row r="160" spans="1:8">
      <c r="A160" s="11" t="s">
        <v>204</v>
      </c>
      <c r="B160" s="11">
        <v>7</v>
      </c>
      <c r="C160" s="5" t="s">
        <v>248</v>
      </c>
      <c r="D160" s="5" t="s">
        <v>249</v>
      </c>
      <c r="E160" s="5">
        <v>0</v>
      </c>
      <c r="F160" s="5" t="s">
        <v>236</v>
      </c>
      <c r="G160" s="5" t="s">
        <v>250</v>
      </c>
      <c r="H160" s="5" t="s">
        <v>251</v>
      </c>
    </row>
    <row r="161" spans="1:8">
      <c r="A161" s="11" t="s">
        <v>204</v>
      </c>
      <c r="B161" s="11">
        <v>8</v>
      </c>
      <c r="C161" s="5" t="s">
        <v>333</v>
      </c>
      <c r="D161" s="5" t="s">
        <v>277</v>
      </c>
      <c r="E161" s="5"/>
      <c r="F161" s="5" t="s">
        <v>236</v>
      </c>
      <c r="G161" s="5" t="s">
        <v>237</v>
      </c>
      <c r="H161" s="5" t="s">
        <v>334</v>
      </c>
    </row>
    <row r="162" spans="1:8">
      <c r="A162" s="11" t="s">
        <v>208</v>
      </c>
      <c r="B162" s="11">
        <v>1</v>
      </c>
      <c r="C162" s="5" t="s">
        <v>335</v>
      </c>
      <c r="D162" s="5" t="s">
        <v>226</v>
      </c>
      <c r="E162" s="5">
        <v>1</v>
      </c>
      <c r="F162" s="5" t="s">
        <v>227</v>
      </c>
      <c r="G162" s="5" t="s">
        <v>228</v>
      </c>
      <c r="H162" s="5" t="s">
        <v>280</v>
      </c>
    </row>
    <row r="163" spans="1:8">
      <c r="A163" s="11" t="s">
        <v>208</v>
      </c>
      <c r="B163" s="11">
        <v>2</v>
      </c>
      <c r="C163" s="5" t="s">
        <v>281</v>
      </c>
      <c r="D163" s="5" t="s">
        <v>226</v>
      </c>
      <c r="E163" s="5">
        <v>1</v>
      </c>
      <c r="F163" s="5" t="s">
        <v>236</v>
      </c>
      <c r="G163" s="5" t="s">
        <v>237</v>
      </c>
      <c r="H163" s="5" t="s">
        <v>282</v>
      </c>
    </row>
    <row r="164" spans="1:8">
      <c r="A164" s="11" t="s">
        <v>208</v>
      </c>
      <c r="B164" s="11">
        <v>3</v>
      </c>
      <c r="C164" s="5" t="s">
        <v>283</v>
      </c>
      <c r="D164" s="5" t="s">
        <v>271</v>
      </c>
      <c r="E164" s="5">
        <v>1</v>
      </c>
      <c r="F164" s="5" t="s">
        <v>227</v>
      </c>
      <c r="G164" s="5" t="s">
        <v>272</v>
      </c>
      <c r="H164" s="5" t="s">
        <v>284</v>
      </c>
    </row>
    <row r="165" spans="1:8">
      <c r="A165" s="11" t="s">
        <v>208</v>
      </c>
      <c r="B165" s="11">
        <v>4</v>
      </c>
      <c r="C165" s="5" t="s">
        <v>285</v>
      </c>
      <c r="D165" s="5" t="s">
        <v>245</v>
      </c>
      <c r="E165" s="5">
        <v>1</v>
      </c>
      <c r="F165" s="5" t="s">
        <v>227</v>
      </c>
      <c r="G165" s="5" t="s">
        <v>246</v>
      </c>
      <c r="H165" s="5" t="s">
        <v>286</v>
      </c>
    </row>
    <row r="166" spans="1:8">
      <c r="A166" s="11" t="s">
        <v>208</v>
      </c>
      <c r="B166" s="11">
        <v>5</v>
      </c>
      <c r="C166" s="5" t="s">
        <v>248</v>
      </c>
      <c r="D166" s="5" t="s">
        <v>249</v>
      </c>
      <c r="E166" s="5">
        <v>0</v>
      </c>
      <c r="F166" s="5" t="s">
        <v>236</v>
      </c>
      <c r="G166" s="5" t="s">
        <v>250</v>
      </c>
      <c r="H166" s="5" t="s">
        <v>251</v>
      </c>
    </row>
    <row r="167" spans="1:8">
      <c r="A167" s="11" t="s">
        <v>208</v>
      </c>
      <c r="B167" s="11">
        <v>6</v>
      </c>
      <c r="C167" s="5" t="s">
        <v>287</v>
      </c>
      <c r="D167" s="5" t="s">
        <v>267</v>
      </c>
      <c r="E167" s="5">
        <v>0</v>
      </c>
      <c r="F167" s="5" t="s">
        <v>236</v>
      </c>
      <c r="G167" s="5" t="s">
        <v>268</v>
      </c>
      <c r="H167" s="5" t="s">
        <v>288</v>
      </c>
    </row>
    <row r="168" spans="1:8">
      <c r="A168" s="11" t="s">
        <v>208</v>
      </c>
      <c r="B168" s="11">
        <v>7</v>
      </c>
      <c r="C168" s="5" t="s">
        <v>289</v>
      </c>
      <c r="D168" s="5" t="s">
        <v>290</v>
      </c>
      <c r="E168" s="5"/>
      <c r="F168" s="5" t="s">
        <v>236</v>
      </c>
      <c r="G168" s="5" t="s">
        <v>237</v>
      </c>
      <c r="H168" s="5" t="s">
        <v>291</v>
      </c>
    </row>
    <row r="169" spans="1:8">
      <c r="A169" s="11" t="s">
        <v>208</v>
      </c>
      <c r="B169" s="11">
        <v>8</v>
      </c>
      <c r="C169" s="5" t="s">
        <v>292</v>
      </c>
      <c r="D169" s="5" t="s">
        <v>293</v>
      </c>
      <c r="E169" s="5"/>
      <c r="F169" s="5" t="s">
        <v>236</v>
      </c>
      <c r="G169" s="5" t="s">
        <v>237</v>
      </c>
      <c r="H169" s="5" t="s">
        <v>291</v>
      </c>
    </row>
    <row r="170" spans="1:8">
      <c r="A170" s="11" t="s">
        <v>212</v>
      </c>
      <c r="B170" s="11">
        <v>1</v>
      </c>
      <c r="C170" s="5" t="s">
        <v>336</v>
      </c>
      <c r="D170" s="5" t="s">
        <v>226</v>
      </c>
      <c r="E170" s="5">
        <v>1</v>
      </c>
      <c r="F170" s="5" t="s">
        <v>227</v>
      </c>
      <c r="G170" s="5" t="s">
        <v>228</v>
      </c>
      <c r="H170" s="5" t="s">
        <v>229</v>
      </c>
    </row>
    <row r="171" spans="1:8">
      <c r="A171" s="11" t="s">
        <v>212</v>
      </c>
      <c r="B171" s="11">
        <v>2</v>
      </c>
      <c r="C171" s="5" t="s">
        <v>230</v>
      </c>
      <c r="D171" s="5" t="s">
        <v>231</v>
      </c>
      <c r="E171" s="5">
        <v>12</v>
      </c>
      <c r="F171" s="5" t="s">
        <v>227</v>
      </c>
      <c r="G171" s="5" t="s">
        <v>232</v>
      </c>
      <c r="H171" s="5" t="s">
        <v>233</v>
      </c>
    </row>
    <row r="172" spans="1:8">
      <c r="A172" s="11" t="s">
        <v>212</v>
      </c>
      <c r="B172" s="11">
        <v>3</v>
      </c>
      <c r="C172" s="5" t="s">
        <v>234</v>
      </c>
      <c r="D172" s="5" t="s">
        <v>235</v>
      </c>
      <c r="E172" s="5">
        <v>40</v>
      </c>
      <c r="F172" s="5" t="s">
        <v>236</v>
      </c>
      <c r="G172" s="5" t="s">
        <v>237</v>
      </c>
      <c r="H172" s="5" t="s">
        <v>238</v>
      </c>
    </row>
    <row r="173" spans="1:8">
      <c r="A173" s="11" t="s">
        <v>212</v>
      </c>
      <c r="B173" s="11">
        <v>4</v>
      </c>
      <c r="C173" s="5" t="s">
        <v>239</v>
      </c>
      <c r="D173" s="5" t="s">
        <v>226</v>
      </c>
      <c r="E173" s="5"/>
      <c r="F173" s="5" t="s">
        <v>236</v>
      </c>
      <c r="G173" s="5" t="s">
        <v>237</v>
      </c>
      <c r="H173" s="5" t="s">
        <v>240</v>
      </c>
    </row>
    <row r="174" spans="1:8">
      <c r="A174" s="11" t="s">
        <v>212</v>
      </c>
      <c r="B174" s="11">
        <v>5</v>
      </c>
      <c r="C174" s="5" t="s">
        <v>241</v>
      </c>
      <c r="D174" s="5" t="s">
        <v>242</v>
      </c>
      <c r="E174" s="5"/>
      <c r="F174" s="5" t="s">
        <v>236</v>
      </c>
      <c r="G174" s="5" t="s">
        <v>237</v>
      </c>
      <c r="H174" s="5" t="s">
        <v>243</v>
      </c>
    </row>
    <row r="175" spans="1:8">
      <c r="A175" s="11" t="s">
        <v>212</v>
      </c>
      <c r="B175" s="11">
        <v>6</v>
      </c>
      <c r="C175" s="5" t="s">
        <v>244</v>
      </c>
      <c r="D175" s="5" t="s">
        <v>245</v>
      </c>
      <c r="E175" s="5">
        <v>1</v>
      </c>
      <c r="F175" s="5" t="s">
        <v>227</v>
      </c>
      <c r="G175" s="5" t="s">
        <v>246</v>
      </c>
      <c r="H175" s="5" t="s">
        <v>247</v>
      </c>
    </row>
    <row r="176" spans="1:8">
      <c r="A176" s="11" t="s">
        <v>212</v>
      </c>
      <c r="B176" s="11">
        <v>7</v>
      </c>
      <c r="C176" s="5" t="s">
        <v>248</v>
      </c>
      <c r="D176" s="5" t="s">
        <v>249</v>
      </c>
      <c r="E176" s="5">
        <v>0</v>
      </c>
      <c r="F176" s="5" t="s">
        <v>236</v>
      </c>
      <c r="G176" s="5" t="s">
        <v>250</v>
      </c>
      <c r="H176" s="5" t="s">
        <v>251</v>
      </c>
    </row>
    <row r="177" spans="1:8">
      <c r="A177" s="11" t="s">
        <v>212</v>
      </c>
      <c r="B177" s="11">
        <v>8</v>
      </c>
      <c r="C177" s="5" t="s">
        <v>252</v>
      </c>
      <c r="D177" s="5" t="s">
        <v>249</v>
      </c>
      <c r="E177" s="5">
        <v>0</v>
      </c>
      <c r="F177" s="5" t="s">
        <v>236</v>
      </c>
      <c r="G177" s="5" t="s">
        <v>253</v>
      </c>
      <c r="H177" s="5" t="s">
        <v>254</v>
      </c>
    </row>
    <row r="178" spans="1:8">
      <c r="A178" s="11" t="s">
        <v>215</v>
      </c>
      <c r="B178" s="11">
        <v>1</v>
      </c>
      <c r="C178" s="5" t="s">
        <v>337</v>
      </c>
      <c r="D178" s="5" t="s">
        <v>226</v>
      </c>
      <c r="E178" s="5">
        <v>1</v>
      </c>
      <c r="F178" s="5" t="s">
        <v>227</v>
      </c>
      <c r="G178" s="5" t="s">
        <v>228</v>
      </c>
      <c r="H178" s="5" t="s">
        <v>229</v>
      </c>
    </row>
    <row r="179" spans="1:8">
      <c r="A179" s="11" t="s">
        <v>215</v>
      </c>
      <c r="B179" s="11">
        <v>2</v>
      </c>
      <c r="C179" s="5" t="s">
        <v>281</v>
      </c>
      <c r="D179" s="5" t="s">
        <v>226</v>
      </c>
      <c r="E179" s="5">
        <v>1</v>
      </c>
      <c r="F179" s="5" t="s">
        <v>236</v>
      </c>
      <c r="G179" s="5" t="s">
        <v>237</v>
      </c>
      <c r="H179" s="5" t="s">
        <v>296</v>
      </c>
    </row>
    <row r="180" spans="1:8" ht="25.2">
      <c r="A180" s="11" t="s">
        <v>215</v>
      </c>
      <c r="B180" s="11">
        <v>3</v>
      </c>
      <c r="C180" s="5" t="s">
        <v>300</v>
      </c>
      <c r="D180" s="5" t="s">
        <v>226</v>
      </c>
      <c r="E180" s="5"/>
      <c r="F180" s="5" t="s">
        <v>236</v>
      </c>
      <c r="G180" s="5" t="s">
        <v>237</v>
      </c>
      <c r="H180" s="5" t="s">
        <v>296</v>
      </c>
    </row>
    <row r="181" spans="1:8">
      <c r="A181" s="11" t="s">
        <v>215</v>
      </c>
      <c r="B181" s="11">
        <v>4</v>
      </c>
      <c r="C181" s="5" t="s">
        <v>298</v>
      </c>
      <c r="D181" s="5" t="s">
        <v>271</v>
      </c>
      <c r="E181" s="5">
        <v>1</v>
      </c>
      <c r="F181" s="5" t="s">
        <v>227</v>
      </c>
      <c r="G181" s="5" t="s">
        <v>272</v>
      </c>
      <c r="H181" s="5" t="s">
        <v>284</v>
      </c>
    </row>
    <row r="182" spans="1:8">
      <c r="A182" s="11" t="s">
        <v>215</v>
      </c>
      <c r="B182" s="11">
        <v>5</v>
      </c>
      <c r="C182" s="5" t="s">
        <v>285</v>
      </c>
      <c r="D182" s="5" t="s">
        <v>245</v>
      </c>
      <c r="E182" s="5">
        <v>1</v>
      </c>
      <c r="F182" s="5" t="s">
        <v>227</v>
      </c>
      <c r="G182" s="5" t="s">
        <v>246</v>
      </c>
      <c r="H182" s="5" t="s">
        <v>274</v>
      </c>
    </row>
    <row r="183" spans="1:8">
      <c r="A183" s="11" t="s">
        <v>215</v>
      </c>
      <c r="B183" s="11">
        <v>6</v>
      </c>
      <c r="C183" s="5" t="s">
        <v>248</v>
      </c>
      <c r="D183" s="5" t="s">
        <v>249</v>
      </c>
      <c r="E183" s="5">
        <v>0</v>
      </c>
      <c r="F183" s="5" t="s">
        <v>236</v>
      </c>
      <c r="G183" s="5" t="s">
        <v>250</v>
      </c>
      <c r="H183" s="5" t="s">
        <v>251</v>
      </c>
    </row>
    <row r="184" spans="1:8">
      <c r="A184" s="11" t="s">
        <v>215</v>
      </c>
      <c r="B184" s="11">
        <v>7</v>
      </c>
      <c r="C184" s="5" t="s">
        <v>301</v>
      </c>
      <c r="D184" s="5" t="s">
        <v>267</v>
      </c>
      <c r="E184" s="5">
        <v>0</v>
      </c>
      <c r="F184" s="5" t="s">
        <v>236</v>
      </c>
      <c r="G184" s="5" t="s">
        <v>268</v>
      </c>
      <c r="H184" s="5" t="s">
        <v>269</v>
      </c>
    </row>
    <row r="185" spans="1:8">
      <c r="A185" s="11" t="s">
        <v>215</v>
      </c>
      <c r="B185" s="11">
        <v>8</v>
      </c>
      <c r="C185" s="5" t="s">
        <v>252</v>
      </c>
      <c r="D185" s="5" t="s">
        <v>249</v>
      </c>
      <c r="E185" s="5">
        <v>0</v>
      </c>
      <c r="F185" s="5" t="s">
        <v>236</v>
      </c>
      <c r="G185" s="5" t="s">
        <v>253</v>
      </c>
      <c r="H185" s="5" t="s">
        <v>254</v>
      </c>
    </row>
    <row r="186" spans="1:8">
      <c r="A186" s="11" t="s">
        <v>218</v>
      </c>
      <c r="B186" s="11">
        <v>1</v>
      </c>
      <c r="C186" s="5" t="s">
        <v>338</v>
      </c>
      <c r="D186" s="5" t="s">
        <v>226</v>
      </c>
      <c r="E186" s="5">
        <v>1</v>
      </c>
      <c r="F186" s="5" t="s">
        <v>227</v>
      </c>
      <c r="G186" s="5" t="s">
        <v>228</v>
      </c>
      <c r="H186" s="5" t="s">
        <v>229</v>
      </c>
    </row>
    <row r="187" spans="1:8">
      <c r="A187" s="11" t="s">
        <v>218</v>
      </c>
      <c r="B187" s="11">
        <v>2</v>
      </c>
      <c r="C187" s="5" t="s">
        <v>263</v>
      </c>
      <c r="D187" s="5" t="s">
        <v>249</v>
      </c>
      <c r="E187" s="5"/>
      <c r="F187" s="5" t="s">
        <v>227</v>
      </c>
      <c r="G187" s="5" t="s">
        <v>264</v>
      </c>
      <c r="H187" s="5" t="s">
        <v>265</v>
      </c>
    </row>
    <row r="188" spans="1:8">
      <c r="A188" s="11" t="s">
        <v>218</v>
      </c>
      <c r="B188" s="11">
        <v>3</v>
      </c>
      <c r="C188" s="5" t="s">
        <v>319</v>
      </c>
      <c r="D188" s="5" t="s">
        <v>267</v>
      </c>
      <c r="E188" s="5">
        <v>0</v>
      </c>
      <c r="F188" s="5" t="s">
        <v>227</v>
      </c>
      <c r="G188" s="5" t="s">
        <v>268</v>
      </c>
      <c r="H188" s="5" t="s">
        <v>320</v>
      </c>
    </row>
    <row r="189" spans="1:8">
      <c r="A189" s="11" t="s">
        <v>218</v>
      </c>
      <c r="B189" s="11">
        <v>4</v>
      </c>
      <c r="C189" s="5" t="s">
        <v>328</v>
      </c>
      <c r="D189" s="5" t="s">
        <v>231</v>
      </c>
      <c r="E189" s="5"/>
      <c r="F189" s="5" t="s">
        <v>236</v>
      </c>
      <c r="G189" s="5" t="s">
        <v>237</v>
      </c>
      <c r="H189" s="5" t="s">
        <v>322</v>
      </c>
    </row>
    <row r="190" spans="1:8">
      <c r="A190" s="11" t="s">
        <v>218</v>
      </c>
      <c r="B190" s="11">
        <v>5</v>
      </c>
      <c r="C190" s="5" t="s">
        <v>323</v>
      </c>
      <c r="D190" s="5" t="s">
        <v>226</v>
      </c>
      <c r="E190" s="5">
        <v>1</v>
      </c>
      <c r="F190" s="5" t="s">
        <v>236</v>
      </c>
      <c r="G190" s="5" t="s">
        <v>237</v>
      </c>
      <c r="H190" s="5" t="s">
        <v>324</v>
      </c>
    </row>
    <row r="191" spans="1:8">
      <c r="A191" s="11" t="s">
        <v>218</v>
      </c>
      <c r="B191" s="11">
        <v>6</v>
      </c>
      <c r="C191" s="5" t="s">
        <v>325</v>
      </c>
      <c r="D191" s="5" t="s">
        <v>271</v>
      </c>
      <c r="E191" s="5">
        <v>1</v>
      </c>
      <c r="F191" s="5" t="s">
        <v>227</v>
      </c>
      <c r="G191" s="5" t="s">
        <v>272</v>
      </c>
      <c r="H191" s="5" t="s">
        <v>273</v>
      </c>
    </row>
    <row r="192" spans="1:8">
      <c r="A192" s="11" t="s">
        <v>218</v>
      </c>
      <c r="B192" s="11">
        <v>7</v>
      </c>
      <c r="C192" s="5" t="s">
        <v>244</v>
      </c>
      <c r="D192" s="5" t="s">
        <v>245</v>
      </c>
      <c r="E192" s="5">
        <v>1</v>
      </c>
      <c r="F192" s="5" t="s">
        <v>227</v>
      </c>
      <c r="G192" s="5" t="s">
        <v>246</v>
      </c>
      <c r="H192" s="5" t="s">
        <v>326</v>
      </c>
    </row>
    <row r="193" spans="1:8">
      <c r="A193" s="11" t="s">
        <v>218</v>
      </c>
      <c r="B193" s="11">
        <v>8</v>
      </c>
      <c r="C193" s="5" t="s">
        <v>248</v>
      </c>
      <c r="D193" s="5" t="s">
        <v>249</v>
      </c>
      <c r="E193" s="5">
        <v>0</v>
      </c>
      <c r="F193" s="5" t="s">
        <v>236</v>
      </c>
      <c r="G193" s="5" t="s">
        <v>250</v>
      </c>
      <c r="H193" s="5" t="s">
        <v>251</v>
      </c>
    </row>
    <row r="194" spans="1:8">
      <c r="A194" s="11" t="s">
        <v>220</v>
      </c>
      <c r="B194" s="11">
        <v>1</v>
      </c>
      <c r="C194" s="5" t="s">
        <v>339</v>
      </c>
      <c r="D194" s="5" t="s">
        <v>226</v>
      </c>
      <c r="E194" s="5">
        <v>1</v>
      </c>
      <c r="F194" s="5" t="s">
        <v>227</v>
      </c>
      <c r="G194" s="5" t="s">
        <v>228</v>
      </c>
      <c r="H194" s="5" t="s">
        <v>229</v>
      </c>
    </row>
    <row r="195" spans="1:8">
      <c r="A195" s="11" t="s">
        <v>220</v>
      </c>
      <c r="B195" s="11">
        <v>2</v>
      </c>
      <c r="C195" s="5" t="s">
        <v>263</v>
      </c>
      <c r="D195" s="5" t="s">
        <v>249</v>
      </c>
      <c r="E195" s="5"/>
      <c r="F195" s="5" t="s">
        <v>227</v>
      </c>
      <c r="G195" s="5" t="s">
        <v>264</v>
      </c>
      <c r="H195" s="5" t="s">
        <v>265</v>
      </c>
    </row>
    <row r="196" spans="1:8">
      <c r="A196" s="11" t="s">
        <v>220</v>
      </c>
      <c r="B196" s="11">
        <v>3</v>
      </c>
      <c r="C196" s="5" t="s">
        <v>319</v>
      </c>
      <c r="D196" s="5" t="s">
        <v>267</v>
      </c>
      <c r="E196" s="5">
        <v>0</v>
      </c>
      <c r="F196" s="5" t="s">
        <v>227</v>
      </c>
      <c r="G196" s="5" t="s">
        <v>268</v>
      </c>
      <c r="H196" s="5" t="s">
        <v>320</v>
      </c>
    </row>
    <row r="197" spans="1:8">
      <c r="A197" s="11" t="s">
        <v>220</v>
      </c>
      <c r="B197" s="11">
        <v>4</v>
      </c>
      <c r="C197" s="5" t="s">
        <v>321</v>
      </c>
      <c r="D197" s="5" t="s">
        <v>231</v>
      </c>
      <c r="E197" s="5"/>
      <c r="F197" s="5" t="s">
        <v>236</v>
      </c>
      <c r="G197" s="5" t="s">
        <v>237</v>
      </c>
      <c r="H197" s="5" t="s">
        <v>322</v>
      </c>
    </row>
    <row r="198" spans="1:8">
      <c r="A198" s="11" t="s">
        <v>220</v>
      </c>
      <c r="B198" s="11">
        <v>5</v>
      </c>
      <c r="C198" s="5" t="s">
        <v>323</v>
      </c>
      <c r="D198" s="5" t="s">
        <v>226</v>
      </c>
      <c r="E198" s="5">
        <v>1</v>
      </c>
      <c r="F198" s="5" t="s">
        <v>236</v>
      </c>
      <c r="G198" s="5" t="s">
        <v>237</v>
      </c>
      <c r="H198" s="5" t="s">
        <v>324</v>
      </c>
    </row>
    <row r="199" spans="1:8">
      <c r="A199" s="11" t="s">
        <v>220</v>
      </c>
      <c r="B199" s="11">
        <v>6</v>
      </c>
      <c r="C199" s="5" t="s">
        <v>325</v>
      </c>
      <c r="D199" s="5" t="s">
        <v>271</v>
      </c>
      <c r="E199" s="5">
        <v>1</v>
      </c>
      <c r="F199" s="5" t="s">
        <v>227</v>
      </c>
      <c r="G199" s="5" t="s">
        <v>272</v>
      </c>
      <c r="H199" s="5" t="s">
        <v>273</v>
      </c>
    </row>
    <row r="200" spans="1:8">
      <c r="A200" s="11" t="s">
        <v>220</v>
      </c>
      <c r="B200" s="11">
        <v>7</v>
      </c>
      <c r="C200" s="5" t="s">
        <v>244</v>
      </c>
      <c r="D200" s="5" t="s">
        <v>245</v>
      </c>
      <c r="E200" s="5">
        <v>1</v>
      </c>
      <c r="F200" s="5" t="s">
        <v>227</v>
      </c>
      <c r="G200" s="5" t="s">
        <v>246</v>
      </c>
      <c r="H200" s="5" t="s">
        <v>326</v>
      </c>
    </row>
    <row r="201" spans="1:8">
      <c r="A201" s="11" t="s">
        <v>220</v>
      </c>
      <c r="B201" s="11">
        <v>8</v>
      </c>
      <c r="C201" s="5" t="s">
        <v>248</v>
      </c>
      <c r="D201" s="5" t="s">
        <v>249</v>
      </c>
      <c r="E201" s="5">
        <v>0</v>
      </c>
      <c r="F201" s="5" t="s">
        <v>236</v>
      </c>
      <c r="G201" s="5" t="s">
        <v>250</v>
      </c>
      <c r="H201" s="5" t="s">
        <v>251</v>
      </c>
    </row>
    <row r="202" spans="1:8">
      <c r="A202" s="11" t="s">
        <v>222</v>
      </c>
      <c r="B202" s="11">
        <v>1</v>
      </c>
      <c r="C202" s="5" t="s">
        <v>336</v>
      </c>
      <c r="D202" s="5" t="s">
        <v>226</v>
      </c>
      <c r="E202" s="5">
        <v>1</v>
      </c>
      <c r="F202" s="5" t="s">
        <v>227</v>
      </c>
      <c r="G202" s="5" t="s">
        <v>228</v>
      </c>
      <c r="H202" s="5" t="s">
        <v>229</v>
      </c>
    </row>
    <row r="203" spans="1:8">
      <c r="A203" s="11" t="s">
        <v>222</v>
      </c>
      <c r="B203" s="11">
        <v>2</v>
      </c>
      <c r="C203" s="5" t="s">
        <v>230</v>
      </c>
      <c r="D203" s="5" t="s">
        <v>231</v>
      </c>
      <c r="E203" s="5">
        <v>4</v>
      </c>
      <c r="F203" s="5" t="s">
        <v>227</v>
      </c>
      <c r="G203" s="5" t="s">
        <v>232</v>
      </c>
      <c r="H203" s="5" t="s">
        <v>233</v>
      </c>
    </row>
    <row r="204" spans="1:8">
      <c r="A204" s="11" t="s">
        <v>222</v>
      </c>
      <c r="B204" s="11">
        <v>3</v>
      </c>
      <c r="C204" s="5" t="s">
        <v>234</v>
      </c>
      <c r="D204" s="5" t="s">
        <v>235</v>
      </c>
      <c r="E204" s="5">
        <v>40</v>
      </c>
      <c r="F204" s="5" t="s">
        <v>236</v>
      </c>
      <c r="G204" s="5" t="s">
        <v>237</v>
      </c>
      <c r="H204" s="5" t="s">
        <v>238</v>
      </c>
    </row>
    <row r="205" spans="1:8">
      <c r="A205" s="11" t="s">
        <v>222</v>
      </c>
      <c r="B205" s="11">
        <v>4</v>
      </c>
      <c r="C205" s="5" t="s">
        <v>239</v>
      </c>
      <c r="D205" s="5" t="s">
        <v>226</v>
      </c>
      <c r="E205" s="5"/>
      <c r="F205" s="5" t="s">
        <v>236</v>
      </c>
      <c r="G205" s="5" t="s">
        <v>237</v>
      </c>
      <c r="H205" s="5" t="s">
        <v>240</v>
      </c>
    </row>
    <row r="206" spans="1:8">
      <c r="A206" s="11" t="s">
        <v>222</v>
      </c>
      <c r="B206" s="11">
        <v>5</v>
      </c>
      <c r="C206" s="5" t="s">
        <v>241</v>
      </c>
      <c r="D206" s="5" t="s">
        <v>242</v>
      </c>
      <c r="E206" s="5"/>
      <c r="F206" s="5" t="s">
        <v>236</v>
      </c>
      <c r="G206" s="5" t="s">
        <v>237</v>
      </c>
      <c r="H206" s="5" t="s">
        <v>243</v>
      </c>
    </row>
    <row r="207" spans="1:8">
      <c r="A207" s="11" t="s">
        <v>222</v>
      </c>
      <c r="B207" s="11">
        <v>6</v>
      </c>
      <c r="C207" s="5" t="s">
        <v>244</v>
      </c>
      <c r="D207" s="5" t="s">
        <v>245</v>
      </c>
      <c r="E207" s="5">
        <v>1</v>
      </c>
      <c r="F207" s="5" t="s">
        <v>227</v>
      </c>
      <c r="G207" s="5" t="s">
        <v>246</v>
      </c>
      <c r="H207" s="5" t="s">
        <v>247</v>
      </c>
    </row>
    <row r="208" spans="1:8">
      <c r="A208" s="11" t="s">
        <v>222</v>
      </c>
      <c r="B208" s="11">
        <v>7</v>
      </c>
      <c r="C208" s="5" t="s">
        <v>248</v>
      </c>
      <c r="D208" s="5" t="s">
        <v>249</v>
      </c>
      <c r="E208" s="5">
        <v>0</v>
      </c>
      <c r="F208" s="5" t="s">
        <v>236</v>
      </c>
      <c r="G208" s="5" t="s">
        <v>250</v>
      </c>
      <c r="H208" s="5" t="s">
        <v>251</v>
      </c>
    </row>
    <row r="209" spans="1:8">
      <c r="A209" s="11" t="s">
        <v>222</v>
      </c>
      <c r="B209" s="11">
        <v>8</v>
      </c>
      <c r="C209" s="5" t="s">
        <v>252</v>
      </c>
      <c r="D209" s="5" t="s">
        <v>249</v>
      </c>
      <c r="E209" s="5">
        <v>0</v>
      </c>
      <c r="F209" s="5" t="s">
        <v>236</v>
      </c>
      <c r="G209" s="5" t="s">
        <v>253</v>
      </c>
      <c r="H209" s="5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showGridLines="0" workbookViewId="0"/>
  </sheetViews>
  <sheetFormatPr defaultRowHeight="13.8"/>
  <cols>
    <col min="1" max="1" width="12" customWidth="1"/>
    <col min="2" max="2" width="13" customWidth="1"/>
    <col min="3" max="3" width="42" customWidth="1"/>
    <col min="4" max="5" width="22" customWidth="1"/>
    <col min="6" max="6" width="26" customWidth="1"/>
    <col min="8" max="8" width="20" customWidth="1"/>
    <col min="9" max="9" width="24" customWidth="1"/>
    <col min="10" max="10" width="28" customWidth="1"/>
  </cols>
  <sheetData>
    <row r="1" spans="1:10" ht="25.2">
      <c r="A1" s="18" t="s">
        <v>100</v>
      </c>
      <c r="B1" s="18" t="s">
        <v>12</v>
      </c>
      <c r="C1" s="18" t="s">
        <v>64</v>
      </c>
      <c r="D1" s="18" t="s">
        <v>340</v>
      </c>
      <c r="E1" s="18" t="s">
        <v>341</v>
      </c>
      <c r="F1" s="18" t="s">
        <v>342</v>
      </c>
      <c r="G1" s="1"/>
      <c r="H1" s="18" t="s">
        <v>12</v>
      </c>
      <c r="I1" s="18" t="s">
        <v>343</v>
      </c>
      <c r="J1" s="18" t="s">
        <v>344</v>
      </c>
    </row>
    <row r="2" spans="1:10">
      <c r="A2" s="11" t="s">
        <v>345</v>
      </c>
      <c r="B2" s="11" t="s">
        <v>209</v>
      </c>
      <c r="C2" s="5" t="s">
        <v>346</v>
      </c>
      <c r="D2" s="7">
        <v>7500</v>
      </c>
      <c r="E2" s="7">
        <v>6506</v>
      </c>
      <c r="F2" s="11" t="s">
        <v>347</v>
      </c>
      <c r="G2" s="1"/>
      <c r="H2" s="11" t="s">
        <v>209</v>
      </c>
      <c r="I2" s="7">
        <v>5975</v>
      </c>
      <c r="J2" s="7">
        <v>5384</v>
      </c>
    </row>
    <row r="3" spans="1:10">
      <c r="A3" s="11" t="s">
        <v>348</v>
      </c>
      <c r="B3" s="11" t="s">
        <v>209</v>
      </c>
      <c r="C3" s="5" t="s">
        <v>349</v>
      </c>
      <c r="D3" s="7">
        <v>5500</v>
      </c>
      <c r="E3" s="7">
        <v>4566</v>
      </c>
      <c r="F3" s="11" t="s">
        <v>347</v>
      </c>
      <c r="G3" s="1"/>
      <c r="H3" s="11" t="s">
        <v>350</v>
      </c>
      <c r="I3" s="7">
        <v>3466</v>
      </c>
      <c r="J3" s="7">
        <v>2914</v>
      </c>
    </row>
    <row r="4" spans="1:10" ht="37.799999999999997">
      <c r="A4" s="11" t="s">
        <v>351</v>
      </c>
      <c r="B4" s="11" t="s">
        <v>209</v>
      </c>
      <c r="C4" s="5" t="s">
        <v>352</v>
      </c>
      <c r="D4" s="7">
        <v>5500</v>
      </c>
      <c r="E4" s="7">
        <v>5200</v>
      </c>
      <c r="F4" s="11" t="s">
        <v>347</v>
      </c>
      <c r="G4" s="1"/>
      <c r="H4" s="5" t="s">
        <v>129</v>
      </c>
      <c r="I4" s="5" t="s">
        <v>353</v>
      </c>
      <c r="J4" s="5" t="s">
        <v>354</v>
      </c>
    </row>
    <row r="5" spans="1:10">
      <c r="A5" s="11" t="s">
        <v>355</v>
      </c>
      <c r="B5" s="11" t="s">
        <v>209</v>
      </c>
      <c r="C5" s="5" t="s">
        <v>356</v>
      </c>
      <c r="D5" s="7">
        <v>6500</v>
      </c>
      <c r="E5" s="7">
        <v>5559</v>
      </c>
      <c r="F5" s="11" t="s">
        <v>347</v>
      </c>
      <c r="G5" s="1"/>
      <c r="H5" s="1"/>
      <c r="I5" s="1"/>
      <c r="J5" s="1"/>
    </row>
    <row r="6" spans="1:10">
      <c r="A6" s="11" t="s">
        <v>357</v>
      </c>
      <c r="B6" s="11" t="s">
        <v>209</v>
      </c>
      <c r="C6" s="5" t="s">
        <v>358</v>
      </c>
      <c r="D6" s="7">
        <v>5850</v>
      </c>
      <c r="E6" s="7">
        <v>4905</v>
      </c>
      <c r="F6" s="11" t="s">
        <v>347</v>
      </c>
      <c r="G6" s="1"/>
      <c r="H6" s="1"/>
      <c r="I6" s="1"/>
      <c r="J6" s="1"/>
    </row>
    <row r="7" spans="1:10">
      <c r="A7" s="11" t="s">
        <v>359</v>
      </c>
      <c r="B7" s="11" t="s">
        <v>131</v>
      </c>
      <c r="C7" s="5" t="s">
        <v>360</v>
      </c>
      <c r="D7" s="7">
        <v>4500</v>
      </c>
      <c r="E7" s="7">
        <v>4169</v>
      </c>
      <c r="F7" s="11" t="s">
        <v>347</v>
      </c>
      <c r="G7" s="1"/>
      <c r="H7" s="1"/>
      <c r="I7" s="1"/>
      <c r="J7" s="1"/>
    </row>
    <row r="8" spans="1:10">
      <c r="A8" s="11" t="s">
        <v>361</v>
      </c>
      <c r="B8" s="11" t="s">
        <v>131</v>
      </c>
      <c r="C8" s="5" t="s">
        <v>362</v>
      </c>
      <c r="D8" s="7">
        <v>2500</v>
      </c>
      <c r="E8" s="7">
        <v>1745</v>
      </c>
      <c r="F8" s="11" t="s">
        <v>347</v>
      </c>
      <c r="G8" s="1"/>
      <c r="H8" s="1"/>
      <c r="I8" s="1"/>
      <c r="J8" s="1"/>
    </row>
    <row r="9" spans="1:10">
      <c r="A9" s="11" t="s">
        <v>363</v>
      </c>
      <c r="B9" s="11" t="s">
        <v>131</v>
      </c>
      <c r="C9" s="5" t="s">
        <v>364</v>
      </c>
      <c r="D9" s="7">
        <v>2100</v>
      </c>
      <c r="E9" s="7">
        <v>1424</v>
      </c>
      <c r="F9" s="11" t="s">
        <v>347</v>
      </c>
      <c r="G9" s="1"/>
      <c r="H9" s="1"/>
      <c r="I9" s="1"/>
      <c r="J9" s="1"/>
    </row>
    <row r="10" spans="1:10">
      <c r="A10" s="11" t="s">
        <v>365</v>
      </c>
      <c r="B10" s="11" t="s">
        <v>131</v>
      </c>
      <c r="C10" s="5" t="s">
        <v>112</v>
      </c>
      <c r="D10" s="7">
        <v>3000</v>
      </c>
      <c r="E10" s="7">
        <v>2203</v>
      </c>
      <c r="F10" s="11" t="s">
        <v>347</v>
      </c>
      <c r="G10" s="1"/>
      <c r="H10" s="1"/>
      <c r="I10" s="1"/>
      <c r="J10" s="1"/>
    </row>
    <row r="11" spans="1:10">
      <c r="A11" s="11" t="s">
        <v>366</v>
      </c>
      <c r="B11" s="11" t="s">
        <v>131</v>
      </c>
      <c r="C11" s="5" t="s">
        <v>367</v>
      </c>
      <c r="D11" s="7">
        <v>5800</v>
      </c>
      <c r="E11" s="7">
        <v>5609</v>
      </c>
      <c r="F11" s="11" t="s">
        <v>347</v>
      </c>
      <c r="G11" s="1"/>
      <c r="H11" s="1"/>
      <c r="I11" s="1"/>
      <c r="J11" s="1"/>
    </row>
    <row r="12" spans="1:10">
      <c r="A12" s="11" t="s">
        <v>368</v>
      </c>
      <c r="B12" s="11" t="s">
        <v>131</v>
      </c>
      <c r="C12" s="5" t="s">
        <v>369</v>
      </c>
      <c r="D12" s="7">
        <v>5800</v>
      </c>
      <c r="E12" s="7">
        <v>5196</v>
      </c>
      <c r="F12" s="11" t="s">
        <v>347</v>
      </c>
      <c r="G12" s="1"/>
      <c r="H12" s="1"/>
      <c r="I12" s="1"/>
      <c r="J12" s="1"/>
    </row>
    <row r="13" spans="1:10">
      <c r="A13" s="11" t="s">
        <v>370</v>
      </c>
      <c r="B13" s="11" t="s">
        <v>131</v>
      </c>
      <c r="C13" s="5" t="s">
        <v>371</v>
      </c>
      <c r="D13" s="7">
        <v>4200</v>
      </c>
      <c r="E13" s="7">
        <v>3380</v>
      </c>
      <c r="F13" s="11" t="s">
        <v>347</v>
      </c>
      <c r="G13" s="1"/>
      <c r="H13" s="1"/>
      <c r="I13" s="1"/>
      <c r="J13" s="1"/>
    </row>
    <row r="14" spans="1:10">
      <c r="A14" s="11" t="s">
        <v>372</v>
      </c>
      <c r="B14" s="11" t="s">
        <v>131</v>
      </c>
      <c r="C14" s="5" t="s">
        <v>109</v>
      </c>
      <c r="D14" s="7">
        <v>4200</v>
      </c>
      <c r="E14" s="7">
        <v>3736</v>
      </c>
      <c r="F14" s="11" t="s">
        <v>347</v>
      </c>
      <c r="G14" s="1"/>
      <c r="H14" s="1"/>
      <c r="I14" s="1"/>
      <c r="J14" s="1"/>
    </row>
    <row r="15" spans="1:10">
      <c r="A15" s="11" t="s">
        <v>373</v>
      </c>
      <c r="B15" s="11" t="s">
        <v>131</v>
      </c>
      <c r="C15" s="5" t="s">
        <v>110</v>
      </c>
      <c r="D15" s="7">
        <v>6500</v>
      </c>
      <c r="E15" s="7">
        <v>5695</v>
      </c>
      <c r="F15" s="11" t="s">
        <v>347</v>
      </c>
      <c r="G15" s="1"/>
      <c r="H15" s="1"/>
      <c r="I15" s="1"/>
      <c r="J15" s="1"/>
    </row>
    <row r="16" spans="1:10">
      <c r="A16" s="11" t="s">
        <v>374</v>
      </c>
      <c r="B16" s="11" t="s">
        <v>131</v>
      </c>
      <c r="C16" s="5" t="s">
        <v>375</v>
      </c>
      <c r="D16" s="7">
        <v>4200</v>
      </c>
      <c r="E16" s="7">
        <v>2755</v>
      </c>
      <c r="F16" s="11" t="s">
        <v>347</v>
      </c>
      <c r="G16" s="1"/>
      <c r="H16" s="1"/>
      <c r="I16" s="1"/>
      <c r="J16" s="1"/>
    </row>
    <row r="17" spans="1:10">
      <c r="A17" s="11" t="s">
        <v>376</v>
      </c>
      <c r="B17" s="11" t="s">
        <v>131</v>
      </c>
      <c r="C17" s="5" t="s">
        <v>377</v>
      </c>
      <c r="D17" s="7">
        <v>5800</v>
      </c>
      <c r="E17" s="7">
        <v>4704</v>
      </c>
      <c r="F17" s="11" t="s">
        <v>347</v>
      </c>
      <c r="G17" s="1"/>
      <c r="H17" s="1"/>
      <c r="I17" s="1"/>
      <c r="J17" s="1"/>
    </row>
    <row r="18" spans="1:10">
      <c r="A18" s="11" t="s">
        <v>378</v>
      </c>
      <c r="B18" s="11" t="s">
        <v>131</v>
      </c>
      <c r="C18" s="5" t="s">
        <v>113</v>
      </c>
      <c r="D18" s="7">
        <v>4300</v>
      </c>
      <c r="E18" s="7">
        <v>3265</v>
      </c>
      <c r="F18" s="11" t="s">
        <v>347</v>
      </c>
      <c r="G18" s="1"/>
      <c r="H18" s="1"/>
      <c r="I18" s="1"/>
      <c r="J18" s="1"/>
    </row>
    <row r="19" spans="1:10">
      <c r="A19" s="11" t="s">
        <v>379</v>
      </c>
      <c r="B19" s="11" t="s">
        <v>131</v>
      </c>
      <c r="C19" s="5" t="s">
        <v>111</v>
      </c>
      <c r="D19" s="7">
        <v>1700</v>
      </c>
      <c r="E19" s="7">
        <v>1180</v>
      </c>
      <c r="F19" s="11" t="s">
        <v>347</v>
      </c>
      <c r="G19" s="1"/>
      <c r="H19" s="1"/>
      <c r="I19" s="1"/>
      <c r="J19" s="1"/>
    </row>
    <row r="20" spans="1:10">
      <c r="A20" s="11" t="s">
        <v>380</v>
      </c>
      <c r="B20" s="11" t="s">
        <v>131</v>
      </c>
      <c r="C20" s="5" t="s">
        <v>381</v>
      </c>
      <c r="D20" s="7">
        <v>4200</v>
      </c>
      <c r="E20" s="7">
        <v>2755</v>
      </c>
      <c r="F20" s="11" t="s">
        <v>382</v>
      </c>
      <c r="G20" s="1"/>
      <c r="H20" s="1"/>
      <c r="I20" s="1"/>
      <c r="J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showGridLines="0" workbookViewId="0">
      <selection sqref="A1:E1"/>
    </sheetView>
  </sheetViews>
  <sheetFormatPr defaultRowHeight="13.8"/>
  <cols>
    <col min="1" max="1" width="38" customWidth="1"/>
    <col min="2" max="2" width="20" customWidth="1"/>
    <col min="3" max="3" width="28" customWidth="1"/>
    <col min="4" max="4" width="48" customWidth="1"/>
    <col min="5" max="5" width="14" customWidth="1"/>
  </cols>
  <sheetData>
    <row r="1" spans="1:5" ht="30" customHeight="1">
      <c r="A1" s="43" t="s">
        <v>383</v>
      </c>
      <c r="B1" s="39"/>
      <c r="C1" s="39"/>
      <c r="D1" s="39"/>
      <c r="E1" s="39"/>
    </row>
    <row r="2" spans="1:5">
      <c r="A2" s="1"/>
      <c r="B2" s="1"/>
      <c r="C2" s="1"/>
      <c r="D2" s="1"/>
      <c r="E2" s="1"/>
    </row>
    <row r="3" spans="1:5" ht="16.2">
      <c r="A3" s="36" t="s">
        <v>384</v>
      </c>
      <c r="B3" s="36" t="str">
        <f>IF(COUNTIF(E6:E14,"FAIL")&gt;0,"FAIL","PASS")</f>
        <v>FAIL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8" t="s">
        <v>385</v>
      </c>
      <c r="B5" s="18" t="s">
        <v>386</v>
      </c>
      <c r="C5" s="18" t="s">
        <v>387</v>
      </c>
      <c r="D5" s="18" t="s">
        <v>129</v>
      </c>
      <c r="E5" s="18" t="s">
        <v>388</v>
      </c>
    </row>
    <row r="6" spans="1:5">
      <c r="A6" s="5" t="s">
        <v>389</v>
      </c>
      <c r="B6" s="5">
        <f>COUNTIF('Справочник типов'!$A$2:$A$27,Ввод!$B$5)</f>
        <v>0</v>
      </c>
      <c r="C6" s="5" t="s">
        <v>390</v>
      </c>
      <c r="D6" s="5" t="s">
        <v>391</v>
      </c>
      <c r="E6" s="5" t="str">
        <f>IF(B6=1,"PASS","FAIL")</f>
        <v>FAIL</v>
      </c>
    </row>
    <row r="7" spans="1:5">
      <c r="A7" s="5" t="s">
        <v>392</v>
      </c>
      <c r="B7" s="5">
        <f>COUNTIF(Расчёт!$T$6:$T$105,"*СТАВКУ*")</f>
        <v>0</v>
      </c>
      <c r="C7" s="5" t="s">
        <v>393</v>
      </c>
      <c r="D7" s="5" t="s">
        <v>394</v>
      </c>
      <c r="E7" s="5" t="str">
        <f>IF(B7=0,"PASS","FAIL")</f>
        <v>PASS</v>
      </c>
    </row>
    <row r="8" spans="1:5">
      <c r="A8" s="5" t="s">
        <v>395</v>
      </c>
      <c r="B8" s="5">
        <f>COUNTIF(Расчёт!$T$6:$T$105,"*ЧАСЫ*")</f>
        <v>0</v>
      </c>
      <c r="C8" s="5" t="s">
        <v>396</v>
      </c>
      <c r="D8" s="5" t="s">
        <v>397</v>
      </c>
      <c r="E8" s="5" t="str">
        <f>IF(B8=0,"PASS","FAIL")</f>
        <v>PASS</v>
      </c>
    </row>
    <row r="9" spans="1:5" ht="25.2">
      <c r="A9" s="5" t="s">
        <v>398</v>
      </c>
      <c r="B9" s="5">
        <f>COUNTIFS(Ввод!$F$20:$F$27,"Да",Ввод!$E$20:$E$27,"")</f>
        <v>0</v>
      </c>
      <c r="C9" s="5" t="s">
        <v>399</v>
      </c>
      <c r="D9" s="5" t="s">
        <v>397</v>
      </c>
      <c r="E9" s="5" t="str">
        <f>IF(B9=0,"PASS","FAIL")</f>
        <v>PASS</v>
      </c>
    </row>
    <row r="10" spans="1:5" ht="25.2">
      <c r="A10" s="5" t="s">
        <v>400</v>
      </c>
      <c r="B10" s="5">
        <f>IF(COUNTIF(Расчёт!$N$6:$N$105,"*месяц*")+COUNTIFS('Внешние затраты'!$G$6:$G$25,"В месяц",'Внешние затраты'!$I$6:$I$25,"&gt;0")=0,1,SUMIF(Ввод!$G$20:$G$27,"TERM_MONTHS",Ввод!$E$20:$E$27))</f>
        <v>1</v>
      </c>
      <c r="C10" s="5" t="s">
        <v>401</v>
      </c>
      <c r="D10" s="5" t="s">
        <v>402</v>
      </c>
      <c r="E10" s="5" t="str">
        <f>IF(B10&gt;0,"PASS","FAIL")</f>
        <v>PASS</v>
      </c>
    </row>
    <row r="11" spans="1:5">
      <c r="A11" s="5" t="s">
        <v>403</v>
      </c>
      <c r="B11" s="15">
        <f>IF(AND(IFERROR(VLOOKUP(Ввод!$B$5,'Справочник типов'!$A$2:$J$27,10,FALSE),"")="По марже",SUM('Внешние затраты'!$I$6:$I$25)&gt;0),SUMIF(Ввод!$G$20:$G$27,"TARGET_MARGIN",Ввод!$E$20:$E$27),0.01)</f>
        <v>0.01</v>
      </c>
      <c r="C11" s="5" t="s">
        <v>404</v>
      </c>
      <c r="D11" s="5" t="s">
        <v>405</v>
      </c>
      <c r="E11" s="5" t="str">
        <f>IF(AND(B11&gt;0,B11&lt;0.95),"PASS","FAIL")</f>
        <v>PASS</v>
      </c>
    </row>
    <row r="12" spans="1:5">
      <c r="A12" s="5" t="s">
        <v>78</v>
      </c>
      <c r="B12" s="13">
        <f>Ввод!$B$11</f>
        <v>8</v>
      </c>
      <c r="C12" s="5" t="s">
        <v>406</v>
      </c>
      <c r="D12" s="5" t="s">
        <v>407</v>
      </c>
      <c r="E12" s="5" t="str">
        <f>IF(B12&gt;0,"PASS","FAIL")</f>
        <v>PASS</v>
      </c>
    </row>
    <row r="13" spans="1:5">
      <c r="A13" s="5" t="s">
        <v>75</v>
      </c>
      <c r="B13" s="15">
        <f>Ввод!$B$8</f>
        <v>0.7</v>
      </c>
      <c r="C13" s="5" t="s">
        <v>408</v>
      </c>
      <c r="D13" s="5" t="s">
        <v>409</v>
      </c>
      <c r="E13" s="5" t="str">
        <f>IF(B13&gt;=0.7,"PASS","WARN")</f>
        <v>PASS</v>
      </c>
    </row>
    <row r="14" spans="1:5" ht="25.2">
      <c r="A14" s="5" t="s">
        <v>415</v>
      </c>
      <c r="B14" s="5">
        <f>COUNTIF(Расчёт!$F$6:$F$105,"&lt;0")</f>
        <v>0</v>
      </c>
      <c r="C14" s="5" t="s">
        <v>396</v>
      </c>
      <c r="D14" s="5" t="s">
        <v>397</v>
      </c>
      <c r="E14" s="5" t="str">
        <f>IF(B14=0,"PASS","FAIL")</f>
        <v>PASS</v>
      </c>
    </row>
  </sheetData>
  <mergeCells count="1">
    <mergeCell ref="A1:E1"/>
  </mergeCells>
  <conditionalFormatting sqref="E6:E14">
    <cfRule type="containsText" dxfId="2" priority="1" operator="containsText" text="FAIL"/>
    <cfRule type="containsText" dxfId="1" priority="2" operator="containsText" text="PASS"/>
    <cfRule type="containsText" dxfId="0" priority="3" operator="containsText" text="WARN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showGridLines="0" workbookViewId="0"/>
  </sheetViews>
  <sheetFormatPr defaultRowHeight="13.8"/>
  <cols>
    <col min="1" max="1" width="70" customWidth="1"/>
    <col min="2" max="2" width="12" customWidth="1"/>
    <col min="3" max="3" width="50" customWidth="1"/>
    <col min="4" max="4" width="55" customWidth="1"/>
    <col min="5" max="5" width="16" customWidth="1"/>
  </cols>
  <sheetData>
    <row r="1" spans="1:5" ht="30" customHeight="1">
      <c r="A1" s="43" t="s">
        <v>410</v>
      </c>
      <c r="B1" s="39"/>
      <c r="C1" s="39"/>
      <c r="D1" s="39"/>
      <c r="E1" s="39"/>
    </row>
    <row r="2" spans="1:5">
      <c r="A2" s="1"/>
      <c r="B2" s="1"/>
      <c r="C2" s="1"/>
      <c r="D2" s="1"/>
      <c r="E2" s="1"/>
    </row>
    <row r="3" spans="1:5">
      <c r="A3" s="18" t="s">
        <v>342</v>
      </c>
      <c r="B3" s="18" t="s">
        <v>411</v>
      </c>
      <c r="C3" s="18" t="s">
        <v>412</v>
      </c>
      <c r="D3" s="18" t="s">
        <v>413</v>
      </c>
      <c r="E3" s="18" t="s">
        <v>414</v>
      </c>
    </row>
    <row r="4" spans="1:5">
      <c r="A4" s="5"/>
      <c r="B4" s="5"/>
      <c r="C4" s="5"/>
      <c r="D4" s="5"/>
      <c r="E4" s="37"/>
    </row>
    <row r="5" spans="1:5">
      <c r="A5" s="5"/>
      <c r="B5" s="5"/>
      <c r="C5" s="5"/>
      <c r="D5" s="5"/>
      <c r="E5" s="37"/>
    </row>
    <row r="6" spans="1:5">
      <c r="A6" s="5"/>
      <c r="B6" s="5"/>
      <c r="C6" s="5"/>
      <c r="D6" s="5"/>
      <c r="E6" s="37"/>
    </row>
    <row r="7" spans="1:5">
      <c r="A7" s="5"/>
      <c r="B7" s="5"/>
      <c r="C7" s="5"/>
      <c r="D7" s="5"/>
      <c r="E7" s="37"/>
    </row>
    <row r="8" spans="1:5">
      <c r="A8" s="5"/>
      <c r="B8" s="5"/>
      <c r="C8" s="5"/>
      <c r="D8" s="5"/>
      <c r="E8" s="37"/>
    </row>
    <row r="9" spans="1:5">
      <c r="A9" s="5"/>
      <c r="B9" s="5"/>
      <c r="C9" s="5"/>
      <c r="D9" s="5"/>
      <c r="E9" s="3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Итого по проекту</vt:lpstr>
      <vt:lpstr>Ввод</vt:lpstr>
      <vt:lpstr>Расчёт</vt:lpstr>
      <vt:lpstr>Внешние затраты</vt:lpstr>
      <vt:lpstr>Справочник типов</vt:lpstr>
      <vt:lpstr>Параметры типов</vt:lpstr>
      <vt:lpstr>Справочник ролей</vt:lpstr>
      <vt:lpstr>Проверки</vt:lpstr>
      <vt:lpstr>Источники</vt:lpstr>
      <vt:lpstr>'Справочник типов'!Print_Area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Ilkix x</dc:creator>
  <cp:lastModifiedBy>Ilkix x</cp:lastModifiedBy>
  <dcterms:created xsi:type="dcterms:W3CDTF">2026-08-19T17:00:54Z</dcterms:created>
  <dcterms:modified xsi:type="dcterms:W3CDTF">2026-08-20T11:59:21Z</dcterms:modified>
</cp:coreProperties>
</file>