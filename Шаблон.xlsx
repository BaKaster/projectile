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4621a95a9d79ccd8/Desktop/calculator/Итоговые материалы/"/>
    </mc:Choice>
  </mc:AlternateContent>
  <xr:revisionPtr revIDLastSave="8" documentId="11_2F199B61C9812CC63E2549107F8B4005FDBB6CF7" xr6:coauthVersionLast="47" xr6:coauthVersionMax="47" xr10:uidLastSave="{5F8414E9-EACE-4895-95DB-D02FD7D530BC}"/>
  <bookViews>
    <workbookView xWindow="-108" yWindow="-108" windowWidth="23256" windowHeight="13896" xr2:uid="{00000000-000D-0000-FFFF-FFFF00000000}"/>
  </bookViews>
  <sheets>
    <sheet name="Итого по проекту" sheetId="1" r:id="rId1"/>
    <sheet name="Ввод" sheetId="2" r:id="rId2"/>
    <sheet name="Расчёт" sheetId="3" r:id="rId3"/>
    <sheet name="Внешние затраты" sheetId="4" r:id="rId4"/>
    <sheet name="Справочник типов" sheetId="5" r:id="rId5"/>
    <sheet name="Параметры типов" sheetId="6" r:id="rId6"/>
    <sheet name="Справочник ролей" sheetId="7" r:id="rId7"/>
    <sheet name="Проверки" sheetId="8" r:id="rId8"/>
    <sheet name="Технические данные" sheetId="9" r:id="rId9"/>
  </sheets>
  <definedNames>
    <definedName name="Print_Area" localSheetId="4">'Справочник типов'!$A$1:$J$27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9" l="1"/>
  <c r="F19" i="9"/>
  <c r="H19" i="9" s="1"/>
  <c r="E19" i="9"/>
  <c r="D19" i="9"/>
  <c r="C19" i="9"/>
  <c r="B19" i="9"/>
  <c r="G18" i="9"/>
  <c r="F18" i="9"/>
  <c r="H18" i="9" s="1"/>
  <c r="E18" i="9"/>
  <c r="D18" i="9"/>
  <c r="C18" i="9"/>
  <c r="B18" i="9"/>
  <c r="G17" i="9"/>
  <c r="F17" i="9"/>
  <c r="H17" i="9" s="1"/>
  <c r="E17" i="9"/>
  <c r="D17" i="9"/>
  <c r="C17" i="9"/>
  <c r="B17" i="9"/>
  <c r="G16" i="9"/>
  <c r="F16" i="9"/>
  <c r="H16" i="9" s="1"/>
  <c r="E16" i="9"/>
  <c r="D16" i="9"/>
  <c r="C16" i="9"/>
  <c r="B16" i="9"/>
  <c r="G15" i="9"/>
  <c r="F15" i="9"/>
  <c r="H15" i="9" s="1"/>
  <c r="E15" i="9"/>
  <c r="D15" i="9"/>
  <c r="C15" i="9"/>
  <c r="B15" i="9"/>
  <c r="G14" i="9"/>
  <c r="F14" i="9"/>
  <c r="H14" i="9" s="1"/>
  <c r="E14" i="9"/>
  <c r="D14" i="9"/>
  <c r="C14" i="9"/>
  <c r="B14" i="9"/>
  <c r="G13" i="9"/>
  <c r="F13" i="9"/>
  <c r="H13" i="9" s="1"/>
  <c r="E13" i="9"/>
  <c r="D13" i="9"/>
  <c r="C13" i="9"/>
  <c r="B13" i="9"/>
  <c r="G12" i="9"/>
  <c r="F12" i="9"/>
  <c r="H12" i="9" s="1"/>
  <c r="E12" i="9"/>
  <c r="D12" i="9"/>
  <c r="C12" i="9"/>
  <c r="B12" i="9"/>
  <c r="E10" i="9"/>
  <c r="E9" i="9"/>
  <c r="E8" i="9"/>
  <c r="E7" i="9"/>
  <c r="E6" i="9"/>
  <c r="E5" i="9"/>
  <c r="E4" i="9"/>
  <c r="B13" i="8"/>
  <c r="E13" i="8" s="1"/>
  <c r="B12" i="8"/>
  <c r="E12" i="8" s="1"/>
  <c r="B9" i="8"/>
  <c r="E9" i="8" s="1"/>
  <c r="B6" i="8"/>
  <c r="E6" i="8" s="1"/>
  <c r="B3" i="8"/>
  <c r="C10" i="1" s="1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T105" i="3"/>
  <c r="R105" i="3"/>
  <c r="Q105" i="3"/>
  <c r="K105" i="3"/>
  <c r="T104" i="3"/>
  <c r="R104" i="3"/>
  <c r="Q104" i="3"/>
  <c r="K104" i="3"/>
  <c r="T103" i="3"/>
  <c r="R103" i="3"/>
  <c r="Q103" i="3"/>
  <c r="K103" i="3"/>
  <c r="T102" i="3"/>
  <c r="R102" i="3"/>
  <c r="Q102" i="3"/>
  <c r="K102" i="3"/>
  <c r="T101" i="3"/>
  <c r="R101" i="3"/>
  <c r="Q101" i="3"/>
  <c r="K101" i="3"/>
  <c r="T100" i="3"/>
  <c r="R100" i="3"/>
  <c r="Q100" i="3"/>
  <c r="K100" i="3"/>
  <c r="T99" i="3"/>
  <c r="R99" i="3"/>
  <c r="Q99" i="3"/>
  <c r="K99" i="3"/>
  <c r="T98" i="3"/>
  <c r="R98" i="3"/>
  <c r="Q98" i="3"/>
  <c r="K98" i="3"/>
  <c r="T97" i="3"/>
  <c r="R97" i="3"/>
  <c r="Q97" i="3"/>
  <c r="K97" i="3"/>
  <c r="T96" i="3"/>
  <c r="R96" i="3"/>
  <c r="Q96" i="3"/>
  <c r="K96" i="3"/>
  <c r="T95" i="3"/>
  <c r="R95" i="3"/>
  <c r="Q95" i="3"/>
  <c r="K95" i="3"/>
  <c r="T94" i="3"/>
  <c r="R94" i="3"/>
  <c r="Q94" i="3"/>
  <c r="K94" i="3"/>
  <c r="T93" i="3"/>
  <c r="R93" i="3"/>
  <c r="Q93" i="3"/>
  <c r="K93" i="3"/>
  <c r="T92" i="3"/>
  <c r="R92" i="3"/>
  <c r="Q92" i="3"/>
  <c r="K92" i="3"/>
  <c r="T91" i="3"/>
  <c r="R91" i="3"/>
  <c r="Q91" i="3"/>
  <c r="K91" i="3"/>
  <c r="T90" i="3"/>
  <c r="R90" i="3"/>
  <c r="Q90" i="3"/>
  <c r="K90" i="3"/>
  <c r="T89" i="3"/>
  <c r="R89" i="3"/>
  <c r="Q89" i="3"/>
  <c r="K89" i="3"/>
  <c r="T88" i="3"/>
  <c r="R88" i="3"/>
  <c r="Q88" i="3"/>
  <c r="K88" i="3"/>
  <c r="T87" i="3"/>
  <c r="R87" i="3"/>
  <c r="Q87" i="3"/>
  <c r="K87" i="3"/>
  <c r="T86" i="3"/>
  <c r="R86" i="3"/>
  <c r="Q86" i="3"/>
  <c r="K86" i="3"/>
  <c r="T85" i="3"/>
  <c r="R85" i="3"/>
  <c r="Q85" i="3"/>
  <c r="K85" i="3"/>
  <c r="T84" i="3"/>
  <c r="R84" i="3"/>
  <c r="Q84" i="3"/>
  <c r="K84" i="3"/>
  <c r="T83" i="3"/>
  <c r="R83" i="3"/>
  <c r="Q83" i="3"/>
  <c r="K83" i="3"/>
  <c r="T82" i="3"/>
  <c r="R82" i="3"/>
  <c r="Q82" i="3"/>
  <c r="K82" i="3"/>
  <c r="T81" i="3"/>
  <c r="R81" i="3"/>
  <c r="Q81" i="3"/>
  <c r="K81" i="3"/>
  <c r="T80" i="3"/>
  <c r="R80" i="3"/>
  <c r="Q80" i="3"/>
  <c r="K80" i="3"/>
  <c r="T79" i="3"/>
  <c r="R79" i="3"/>
  <c r="Q79" i="3"/>
  <c r="K79" i="3"/>
  <c r="T78" i="3"/>
  <c r="R78" i="3"/>
  <c r="Q78" i="3"/>
  <c r="K78" i="3"/>
  <c r="T77" i="3"/>
  <c r="R77" i="3"/>
  <c r="Q77" i="3"/>
  <c r="K77" i="3"/>
  <c r="T76" i="3"/>
  <c r="R76" i="3"/>
  <c r="Q76" i="3"/>
  <c r="K76" i="3"/>
  <c r="T75" i="3"/>
  <c r="R75" i="3"/>
  <c r="Q75" i="3"/>
  <c r="K75" i="3"/>
  <c r="T74" i="3"/>
  <c r="R74" i="3"/>
  <c r="Q74" i="3"/>
  <c r="K74" i="3"/>
  <c r="T73" i="3"/>
  <c r="R73" i="3"/>
  <c r="Q73" i="3"/>
  <c r="K73" i="3"/>
  <c r="T72" i="3"/>
  <c r="R72" i="3"/>
  <c r="Q72" i="3"/>
  <c r="K72" i="3"/>
  <c r="T71" i="3"/>
  <c r="R71" i="3"/>
  <c r="Q71" i="3"/>
  <c r="K71" i="3"/>
  <c r="T70" i="3"/>
  <c r="R70" i="3"/>
  <c r="Q70" i="3"/>
  <c r="K70" i="3"/>
  <c r="R69" i="3"/>
  <c r="K69" i="3"/>
  <c r="R68" i="3"/>
  <c r="K68" i="3"/>
  <c r="R67" i="3"/>
  <c r="K67" i="3"/>
  <c r="R66" i="3"/>
  <c r="K66" i="3"/>
  <c r="R65" i="3"/>
  <c r="K65" i="3"/>
  <c r="R64" i="3"/>
  <c r="K64" i="3"/>
  <c r="R63" i="3"/>
  <c r="K63" i="3"/>
  <c r="R62" i="3"/>
  <c r="K62" i="3"/>
  <c r="R61" i="3"/>
  <c r="K61" i="3"/>
  <c r="R60" i="3"/>
  <c r="K60" i="3"/>
  <c r="R59" i="3"/>
  <c r="K59" i="3"/>
  <c r="R58" i="3"/>
  <c r="K58" i="3"/>
  <c r="R57" i="3"/>
  <c r="K57" i="3"/>
  <c r="R56" i="3"/>
  <c r="K56" i="3"/>
  <c r="U55" i="3"/>
  <c r="T55" i="3"/>
  <c r="S55" i="3"/>
  <c r="R55" i="3"/>
  <c r="Q55" i="3"/>
  <c r="P55" i="3"/>
  <c r="O55" i="3"/>
  <c r="N55" i="3"/>
  <c r="M55" i="3"/>
  <c r="L55" i="3"/>
  <c r="U54" i="3"/>
  <c r="T54" i="3"/>
  <c r="S54" i="3"/>
  <c r="R54" i="3"/>
  <c r="Q54" i="3"/>
  <c r="P54" i="3"/>
  <c r="O54" i="3"/>
  <c r="N54" i="3"/>
  <c r="M54" i="3"/>
  <c r="L54" i="3"/>
  <c r="U53" i="3"/>
  <c r="T53" i="3"/>
  <c r="S53" i="3"/>
  <c r="R53" i="3"/>
  <c r="Q53" i="3"/>
  <c r="P53" i="3"/>
  <c r="O53" i="3"/>
  <c r="N53" i="3"/>
  <c r="M53" i="3"/>
  <c r="L53" i="3"/>
  <c r="U52" i="3"/>
  <c r="T52" i="3"/>
  <c r="S52" i="3"/>
  <c r="R52" i="3"/>
  <c r="Q52" i="3"/>
  <c r="P52" i="3"/>
  <c r="O52" i="3"/>
  <c r="N52" i="3"/>
  <c r="M52" i="3"/>
  <c r="L52" i="3"/>
  <c r="U51" i="3"/>
  <c r="T51" i="3"/>
  <c r="S51" i="3"/>
  <c r="R51" i="3"/>
  <c r="Q51" i="3"/>
  <c r="P51" i="3"/>
  <c r="O51" i="3"/>
  <c r="N51" i="3"/>
  <c r="M51" i="3"/>
  <c r="L51" i="3"/>
  <c r="U50" i="3"/>
  <c r="T50" i="3"/>
  <c r="S50" i="3"/>
  <c r="R50" i="3"/>
  <c r="Q50" i="3"/>
  <c r="P50" i="3"/>
  <c r="O50" i="3"/>
  <c r="N50" i="3"/>
  <c r="M50" i="3"/>
  <c r="L50" i="3"/>
  <c r="U49" i="3"/>
  <c r="T49" i="3"/>
  <c r="S49" i="3"/>
  <c r="R49" i="3"/>
  <c r="Q49" i="3"/>
  <c r="P49" i="3"/>
  <c r="O49" i="3"/>
  <c r="N49" i="3"/>
  <c r="M49" i="3"/>
  <c r="L49" i="3"/>
  <c r="U48" i="3"/>
  <c r="T48" i="3"/>
  <c r="S48" i="3"/>
  <c r="R48" i="3"/>
  <c r="Q48" i="3"/>
  <c r="P48" i="3"/>
  <c r="O48" i="3"/>
  <c r="N48" i="3"/>
  <c r="M48" i="3"/>
  <c r="L48" i="3"/>
  <c r="U47" i="3"/>
  <c r="T47" i="3"/>
  <c r="S47" i="3"/>
  <c r="R47" i="3"/>
  <c r="Q47" i="3"/>
  <c r="P47" i="3"/>
  <c r="O47" i="3"/>
  <c r="N47" i="3"/>
  <c r="M47" i="3"/>
  <c r="L47" i="3"/>
  <c r="U46" i="3"/>
  <c r="T46" i="3"/>
  <c r="S46" i="3"/>
  <c r="R46" i="3"/>
  <c r="Q46" i="3"/>
  <c r="P46" i="3"/>
  <c r="O46" i="3"/>
  <c r="N46" i="3"/>
  <c r="M46" i="3"/>
  <c r="L46" i="3"/>
  <c r="U45" i="3"/>
  <c r="T45" i="3"/>
  <c r="S45" i="3"/>
  <c r="R45" i="3"/>
  <c r="Q45" i="3"/>
  <c r="P45" i="3"/>
  <c r="O45" i="3"/>
  <c r="N45" i="3"/>
  <c r="M45" i="3"/>
  <c r="L45" i="3"/>
  <c r="U44" i="3"/>
  <c r="T44" i="3"/>
  <c r="S44" i="3"/>
  <c r="R44" i="3"/>
  <c r="Q44" i="3"/>
  <c r="P44" i="3"/>
  <c r="O44" i="3"/>
  <c r="N44" i="3"/>
  <c r="M44" i="3"/>
  <c r="L44" i="3"/>
  <c r="U43" i="3"/>
  <c r="T43" i="3"/>
  <c r="S43" i="3"/>
  <c r="R43" i="3"/>
  <c r="Q43" i="3"/>
  <c r="P43" i="3"/>
  <c r="O43" i="3"/>
  <c r="N43" i="3"/>
  <c r="M43" i="3"/>
  <c r="L43" i="3"/>
  <c r="U42" i="3"/>
  <c r="T42" i="3"/>
  <c r="S42" i="3"/>
  <c r="R42" i="3"/>
  <c r="Q42" i="3"/>
  <c r="P42" i="3"/>
  <c r="O42" i="3"/>
  <c r="N42" i="3"/>
  <c r="M42" i="3"/>
  <c r="L42" i="3"/>
  <c r="U41" i="3"/>
  <c r="T41" i="3"/>
  <c r="S41" i="3"/>
  <c r="R41" i="3"/>
  <c r="Q41" i="3"/>
  <c r="P41" i="3"/>
  <c r="O41" i="3"/>
  <c r="N41" i="3"/>
  <c r="M41" i="3"/>
  <c r="L41" i="3"/>
  <c r="U40" i="3"/>
  <c r="T40" i="3"/>
  <c r="S40" i="3"/>
  <c r="R40" i="3"/>
  <c r="Q40" i="3"/>
  <c r="P40" i="3"/>
  <c r="O40" i="3"/>
  <c r="N40" i="3"/>
  <c r="M40" i="3"/>
  <c r="L40" i="3"/>
  <c r="U39" i="3"/>
  <c r="T39" i="3"/>
  <c r="S39" i="3"/>
  <c r="R39" i="3"/>
  <c r="Q39" i="3"/>
  <c r="P39" i="3"/>
  <c r="O39" i="3"/>
  <c r="N39" i="3"/>
  <c r="M39" i="3"/>
  <c r="L39" i="3"/>
  <c r="U38" i="3"/>
  <c r="T38" i="3"/>
  <c r="S38" i="3"/>
  <c r="R38" i="3"/>
  <c r="Q38" i="3"/>
  <c r="P38" i="3"/>
  <c r="O38" i="3"/>
  <c r="N38" i="3"/>
  <c r="M38" i="3"/>
  <c r="L38" i="3"/>
  <c r="U37" i="3"/>
  <c r="T37" i="3"/>
  <c r="S37" i="3"/>
  <c r="R37" i="3"/>
  <c r="Q37" i="3"/>
  <c r="P37" i="3"/>
  <c r="O37" i="3"/>
  <c r="N37" i="3"/>
  <c r="M37" i="3"/>
  <c r="L37" i="3"/>
  <c r="U36" i="3"/>
  <c r="T36" i="3"/>
  <c r="S36" i="3"/>
  <c r="R36" i="3"/>
  <c r="Q36" i="3"/>
  <c r="P36" i="3"/>
  <c r="O36" i="3"/>
  <c r="N36" i="3"/>
  <c r="M36" i="3"/>
  <c r="L36" i="3"/>
  <c r="U35" i="3"/>
  <c r="T35" i="3"/>
  <c r="S35" i="3"/>
  <c r="R35" i="3"/>
  <c r="Q35" i="3"/>
  <c r="P35" i="3"/>
  <c r="O35" i="3"/>
  <c r="N35" i="3"/>
  <c r="M35" i="3"/>
  <c r="L35" i="3"/>
  <c r="U34" i="3"/>
  <c r="T34" i="3"/>
  <c r="S34" i="3"/>
  <c r="R34" i="3"/>
  <c r="Q34" i="3"/>
  <c r="P34" i="3"/>
  <c r="O34" i="3"/>
  <c r="N34" i="3"/>
  <c r="M34" i="3"/>
  <c r="L34" i="3"/>
  <c r="U33" i="3"/>
  <c r="T33" i="3"/>
  <c r="S33" i="3"/>
  <c r="R33" i="3"/>
  <c r="Q33" i="3"/>
  <c r="P33" i="3"/>
  <c r="O33" i="3"/>
  <c r="N33" i="3"/>
  <c r="M33" i="3"/>
  <c r="L33" i="3"/>
  <c r="U32" i="3"/>
  <c r="T32" i="3"/>
  <c r="S32" i="3"/>
  <c r="R32" i="3"/>
  <c r="Q32" i="3"/>
  <c r="P32" i="3"/>
  <c r="O32" i="3"/>
  <c r="N32" i="3"/>
  <c r="M32" i="3"/>
  <c r="L32" i="3"/>
  <c r="U31" i="3"/>
  <c r="T31" i="3"/>
  <c r="S31" i="3"/>
  <c r="R31" i="3"/>
  <c r="Q31" i="3"/>
  <c r="P31" i="3"/>
  <c r="O31" i="3"/>
  <c r="N31" i="3"/>
  <c r="M31" i="3"/>
  <c r="L31" i="3"/>
  <c r="U30" i="3"/>
  <c r="T30" i="3"/>
  <c r="S30" i="3"/>
  <c r="R30" i="3"/>
  <c r="Q30" i="3"/>
  <c r="P30" i="3"/>
  <c r="O30" i="3"/>
  <c r="N30" i="3"/>
  <c r="M30" i="3"/>
  <c r="L30" i="3"/>
  <c r="U29" i="3"/>
  <c r="T29" i="3"/>
  <c r="S29" i="3"/>
  <c r="R29" i="3"/>
  <c r="Q29" i="3"/>
  <c r="P29" i="3"/>
  <c r="O29" i="3"/>
  <c r="N29" i="3"/>
  <c r="M29" i="3"/>
  <c r="L29" i="3"/>
  <c r="U28" i="3"/>
  <c r="T28" i="3"/>
  <c r="S28" i="3"/>
  <c r="R28" i="3"/>
  <c r="Q28" i="3"/>
  <c r="P28" i="3"/>
  <c r="O28" i="3"/>
  <c r="N28" i="3"/>
  <c r="M28" i="3"/>
  <c r="L28" i="3"/>
  <c r="U27" i="3"/>
  <c r="T27" i="3"/>
  <c r="S27" i="3"/>
  <c r="R27" i="3"/>
  <c r="Q27" i="3"/>
  <c r="P27" i="3"/>
  <c r="O27" i="3"/>
  <c r="N27" i="3"/>
  <c r="M27" i="3"/>
  <c r="L27" i="3"/>
  <c r="U26" i="3"/>
  <c r="T26" i="3"/>
  <c r="S26" i="3"/>
  <c r="R26" i="3"/>
  <c r="Q26" i="3"/>
  <c r="P26" i="3"/>
  <c r="O26" i="3"/>
  <c r="N26" i="3"/>
  <c r="M26" i="3"/>
  <c r="L26" i="3"/>
  <c r="U25" i="3"/>
  <c r="T25" i="3"/>
  <c r="S25" i="3"/>
  <c r="R25" i="3"/>
  <c r="Q25" i="3"/>
  <c r="P25" i="3"/>
  <c r="O25" i="3"/>
  <c r="N25" i="3"/>
  <c r="M25" i="3"/>
  <c r="L25" i="3"/>
  <c r="U24" i="3"/>
  <c r="T24" i="3"/>
  <c r="S24" i="3"/>
  <c r="R24" i="3"/>
  <c r="Q24" i="3"/>
  <c r="P24" i="3"/>
  <c r="O24" i="3"/>
  <c r="N24" i="3"/>
  <c r="M24" i="3"/>
  <c r="L24" i="3"/>
  <c r="U23" i="3"/>
  <c r="T23" i="3"/>
  <c r="S23" i="3"/>
  <c r="R23" i="3"/>
  <c r="Q23" i="3"/>
  <c r="P23" i="3"/>
  <c r="O23" i="3"/>
  <c r="N23" i="3"/>
  <c r="M23" i="3"/>
  <c r="L23" i="3"/>
  <c r="U22" i="3"/>
  <c r="T22" i="3"/>
  <c r="S22" i="3"/>
  <c r="R22" i="3"/>
  <c r="Q22" i="3"/>
  <c r="P22" i="3"/>
  <c r="O22" i="3"/>
  <c r="N22" i="3"/>
  <c r="M22" i="3"/>
  <c r="L22" i="3"/>
  <c r="U21" i="3"/>
  <c r="T21" i="3"/>
  <c r="S21" i="3"/>
  <c r="R21" i="3"/>
  <c r="Q21" i="3"/>
  <c r="P21" i="3"/>
  <c r="O21" i="3"/>
  <c r="N21" i="3"/>
  <c r="M21" i="3"/>
  <c r="L21" i="3"/>
  <c r="U20" i="3"/>
  <c r="T20" i="3"/>
  <c r="S20" i="3"/>
  <c r="R20" i="3"/>
  <c r="Q20" i="3"/>
  <c r="P20" i="3"/>
  <c r="O20" i="3"/>
  <c r="N20" i="3"/>
  <c r="M20" i="3"/>
  <c r="L20" i="3"/>
  <c r="U19" i="3"/>
  <c r="T19" i="3"/>
  <c r="S19" i="3"/>
  <c r="R19" i="3"/>
  <c r="Q19" i="3"/>
  <c r="P19" i="3"/>
  <c r="O19" i="3"/>
  <c r="N19" i="3"/>
  <c r="M19" i="3"/>
  <c r="L19" i="3"/>
  <c r="U18" i="3"/>
  <c r="T18" i="3"/>
  <c r="S18" i="3"/>
  <c r="R18" i="3"/>
  <c r="Q18" i="3"/>
  <c r="P18" i="3"/>
  <c r="O18" i="3"/>
  <c r="N18" i="3"/>
  <c r="M18" i="3"/>
  <c r="L18" i="3"/>
  <c r="U17" i="3"/>
  <c r="T17" i="3"/>
  <c r="S17" i="3"/>
  <c r="R17" i="3"/>
  <c r="Q17" i="3"/>
  <c r="P17" i="3"/>
  <c r="O17" i="3"/>
  <c r="N17" i="3"/>
  <c r="M17" i="3"/>
  <c r="L17" i="3"/>
  <c r="U16" i="3"/>
  <c r="T16" i="3"/>
  <c r="S16" i="3"/>
  <c r="R16" i="3"/>
  <c r="Q16" i="3"/>
  <c r="P16" i="3"/>
  <c r="O16" i="3"/>
  <c r="N16" i="3"/>
  <c r="M16" i="3"/>
  <c r="L16" i="3"/>
  <c r="U15" i="3"/>
  <c r="T15" i="3"/>
  <c r="S15" i="3"/>
  <c r="R15" i="3"/>
  <c r="Q15" i="3"/>
  <c r="P15" i="3"/>
  <c r="O15" i="3"/>
  <c r="N15" i="3"/>
  <c r="M15" i="3"/>
  <c r="L15" i="3"/>
  <c r="U14" i="3"/>
  <c r="T14" i="3"/>
  <c r="S14" i="3"/>
  <c r="R14" i="3"/>
  <c r="Q14" i="3"/>
  <c r="P14" i="3"/>
  <c r="O14" i="3"/>
  <c r="N14" i="3"/>
  <c r="M14" i="3"/>
  <c r="L14" i="3"/>
  <c r="U13" i="3"/>
  <c r="T13" i="3"/>
  <c r="S13" i="3"/>
  <c r="R13" i="3"/>
  <c r="Q13" i="3"/>
  <c r="P13" i="3"/>
  <c r="O13" i="3"/>
  <c r="N13" i="3"/>
  <c r="M13" i="3"/>
  <c r="L13" i="3"/>
  <c r="U12" i="3"/>
  <c r="T12" i="3"/>
  <c r="S12" i="3"/>
  <c r="R12" i="3"/>
  <c r="Q12" i="3"/>
  <c r="P12" i="3"/>
  <c r="O12" i="3"/>
  <c r="N12" i="3"/>
  <c r="M12" i="3"/>
  <c r="L12" i="3"/>
  <c r="U11" i="3"/>
  <c r="T11" i="3"/>
  <c r="S11" i="3"/>
  <c r="R11" i="3"/>
  <c r="Q11" i="3"/>
  <c r="P11" i="3"/>
  <c r="O11" i="3"/>
  <c r="N11" i="3"/>
  <c r="M11" i="3"/>
  <c r="L11" i="3"/>
  <c r="U10" i="3"/>
  <c r="T10" i="3"/>
  <c r="S10" i="3"/>
  <c r="R10" i="3"/>
  <c r="Q10" i="3"/>
  <c r="P10" i="3"/>
  <c r="O10" i="3"/>
  <c r="N10" i="3"/>
  <c r="M10" i="3"/>
  <c r="L10" i="3"/>
  <c r="U9" i="3"/>
  <c r="T9" i="3"/>
  <c r="S9" i="3"/>
  <c r="R9" i="3"/>
  <c r="Q9" i="3"/>
  <c r="P9" i="3"/>
  <c r="O9" i="3"/>
  <c r="N9" i="3"/>
  <c r="M9" i="3"/>
  <c r="L9" i="3"/>
  <c r="U8" i="3"/>
  <c r="T8" i="3"/>
  <c r="S8" i="3"/>
  <c r="R8" i="3"/>
  <c r="Q8" i="3"/>
  <c r="P8" i="3"/>
  <c r="O8" i="3"/>
  <c r="N8" i="3"/>
  <c r="M8" i="3"/>
  <c r="L8" i="3"/>
  <c r="U7" i="3"/>
  <c r="T7" i="3"/>
  <c r="S7" i="3"/>
  <c r="R7" i="3"/>
  <c r="Q7" i="3"/>
  <c r="P7" i="3"/>
  <c r="O7" i="3"/>
  <c r="N7" i="3"/>
  <c r="M7" i="3"/>
  <c r="L7" i="3"/>
  <c r="U6" i="3"/>
  <c r="T6" i="3"/>
  <c r="S6" i="3"/>
  <c r="R6" i="3"/>
  <c r="Q6" i="3"/>
  <c r="P6" i="3"/>
  <c r="O6" i="3"/>
  <c r="N6" i="3"/>
  <c r="M6" i="3"/>
  <c r="L6" i="3"/>
  <c r="J22" i="1"/>
  <c r="H22" i="1"/>
  <c r="B22" i="1"/>
  <c r="D22" i="1" s="1"/>
  <c r="A22" i="1"/>
  <c r="J21" i="1"/>
  <c r="H21" i="1"/>
  <c r="B21" i="1"/>
  <c r="E21" i="1" s="1"/>
  <c r="J20" i="1"/>
  <c r="H20" i="1"/>
  <c r="E20" i="1"/>
  <c r="B20" i="1"/>
  <c r="D20" i="1" s="1"/>
  <c r="A20" i="1"/>
  <c r="J19" i="1"/>
  <c r="H19" i="1"/>
  <c r="B19" i="1"/>
  <c r="C19" i="1" s="1"/>
  <c r="J18" i="1"/>
  <c r="H18" i="1"/>
  <c r="B18" i="1"/>
  <c r="E18" i="1" s="1"/>
  <c r="J17" i="1"/>
  <c r="H17" i="1"/>
  <c r="B17" i="1"/>
  <c r="A17" i="1" s="1"/>
  <c r="J16" i="1"/>
  <c r="H16" i="1"/>
  <c r="B16" i="1"/>
  <c r="E16" i="1" s="1"/>
  <c r="A16" i="1"/>
  <c r="J15" i="1"/>
  <c r="H15" i="1"/>
  <c r="B15" i="1"/>
  <c r="C15" i="1" s="1"/>
  <c r="C9" i="1"/>
  <c r="I8" i="1"/>
  <c r="C8" i="1"/>
  <c r="C7" i="1"/>
  <c r="C6" i="1"/>
  <c r="B10" i="8" l="1"/>
  <c r="E10" i="8" s="1"/>
  <c r="I7" i="1"/>
  <c r="J8" i="1" s="1"/>
  <c r="I9" i="1" s="1"/>
  <c r="I10" i="1" s="1"/>
  <c r="I6" i="1"/>
  <c r="E22" i="1"/>
  <c r="D15" i="1"/>
  <c r="E19" i="1"/>
  <c r="D19" i="1"/>
  <c r="C22" i="1"/>
  <c r="B8" i="8"/>
  <c r="E8" i="8" s="1"/>
  <c r="B11" i="8"/>
  <c r="E11" i="8" s="1"/>
  <c r="A15" i="1"/>
  <c r="A18" i="1"/>
  <c r="A26" i="2"/>
  <c r="E26" i="2" s="1"/>
  <c r="B21" i="2"/>
  <c r="C23" i="2"/>
  <c r="A21" i="2"/>
  <c r="E21" i="2" s="1"/>
  <c r="F20" i="2"/>
  <c r="C25" i="2"/>
  <c r="A23" i="2"/>
  <c r="E23" i="2" s="1"/>
  <c r="F22" i="2"/>
  <c r="C27" i="2"/>
  <c r="A25" i="2"/>
  <c r="E25" i="2" s="1"/>
  <c r="B20" i="2"/>
  <c r="F24" i="2"/>
  <c r="C22" i="2"/>
  <c r="A20" i="2"/>
  <c r="F25" i="2"/>
  <c r="B23" i="2"/>
  <c r="C20" i="2"/>
  <c r="F27" i="2"/>
  <c r="A27" i="2"/>
  <c r="E27" i="2" s="1"/>
  <c r="B25" i="2"/>
  <c r="B27" i="2"/>
  <c r="F26" i="2"/>
  <c r="C24" i="2"/>
  <c r="A22" i="2"/>
  <c r="E22" i="2" s="1"/>
  <c r="B24" i="2"/>
  <c r="F21" i="2"/>
  <c r="B26" i="2"/>
  <c r="F23" i="2"/>
  <c r="C21" i="2"/>
  <c r="B22" i="2"/>
  <c r="C26" i="2"/>
  <c r="A24" i="2"/>
  <c r="E24" i="2" s="1"/>
  <c r="B7" i="8"/>
  <c r="E7" i="8" s="1"/>
  <c r="E15" i="1"/>
  <c r="C17" i="1"/>
  <c r="A19" i="1"/>
  <c r="D17" i="1"/>
  <c r="E17" i="1"/>
  <c r="A21" i="1"/>
  <c r="C21" i="1"/>
  <c r="C16" i="1"/>
  <c r="D21" i="1"/>
  <c r="D16" i="1"/>
  <c r="C18" i="1"/>
  <c r="D18" i="1"/>
  <c r="C20" i="1"/>
  <c r="I19" i="9" l="1"/>
  <c r="E20" i="2"/>
  <c r="I13" i="9" s="1"/>
  <c r="I17" i="9"/>
  <c r="I14" i="9"/>
  <c r="I15" i="9"/>
  <c r="I12" i="9"/>
  <c r="I18" i="9"/>
  <c r="I16" i="9"/>
</calcChain>
</file>

<file path=xl/sharedStrings.xml><?xml version="1.0" encoding="utf-8"?>
<sst xmlns="http://schemas.openxmlformats.org/spreadsheetml/2006/main" count="1728" uniqueCount="403">
  <si>
    <t>ПРЕДВАРИТЕЛЬНАЯ ОЦЕНКА СТОИМОСТИ ПРОЕКТА</t>
  </si>
  <si>
    <t>Ключевые данные для согласования бюджета и подготовки коммерческого предложения</t>
  </si>
  <si>
    <t>// 01  ПРОЕКТ</t>
  </si>
  <si>
    <t>// 02  СТОИМОСТЬ ПРОЕКТА</t>
  </si>
  <si>
    <t>Название</t>
  </si>
  <si>
    <t>Себестоимость</t>
  </si>
  <si>
    <t>Тип проекта</t>
  </si>
  <si>
    <t>Цена без НДС, до скидки</t>
  </si>
  <si>
    <t>Дата оценки</t>
  </si>
  <si>
    <t>Скидка</t>
  </si>
  <si>
    <t>Расчётный срок</t>
  </si>
  <si>
    <t>Цена без НДС, со скидкой</t>
  </si>
  <si>
    <t>Статус расчёта</t>
  </si>
  <si>
    <t>Цена с НДС, со скидкой</t>
  </si>
  <si>
    <t>Предварительная оценка: перед коммерческим предложением проверьте состав работ, ставки и внешние затраты.</t>
  </si>
  <si>
    <t>// 03  СТОИМОСТЬ ПО ЭТАПАМ</t>
  </si>
  <si>
    <t>// 04  ДОПУЩЕНИЯ И ОГРАНИЧЕНИЯ</t>
  </si>
  <si>
    <t>№</t>
  </si>
  <si>
    <t>Этап</t>
  </si>
  <si>
    <t>Часы</t>
  </si>
  <si>
    <t>Стоимость без НДС</t>
  </si>
  <si>
    <t>Срок, раб. дн.</t>
  </si>
  <si>
    <t>Объяснение этапа</t>
  </si>
  <si>
    <t>Допущение</t>
  </si>
  <si>
    <t>Влияние на оценку</t>
  </si>
  <si>
    <t>ПАРАМЕТРЫ ПРОЕКТА</t>
  </si>
  <si>
    <t>// 01  ОСНОВНЫЕ ПАРАМЕТРЫ</t>
  </si>
  <si>
    <t>Название проекта</t>
  </si>
  <si>
    <t>Название выводится на итоговый лист.</t>
  </si>
  <si>
    <t>Код типа определяет модель и параметры расчёта.</t>
  </si>
  <si>
    <t>Дата подготовки оценки.</t>
  </si>
  <si>
    <t>НДС</t>
  </si>
  <si>
    <t>Ставка налога для расчёта цены с НДС.</t>
  </si>
  <si>
    <t>Применяется к клиентской цене без НДС.</t>
  </si>
  <si>
    <t>Рабочих часов в дне</t>
  </si>
  <si>
    <t>Используется для перевода трудозатрат в рабочие дни.</t>
  </si>
  <si>
    <t>Интерпретация часов ИИ</t>
  </si>
  <si>
    <t>Всего</t>
  </si>
  <si>
    <t>Показывает, относятся часы ко всему проекту, месяцу или единице.</t>
  </si>
  <si>
    <t>Главное допущение</t>
  </si>
  <si>
    <t>Фиолетовые поля — заполняются пользователем; серые поля — рассчитываются автоматически.</t>
  </si>
  <si>
    <t>// 02  КЛЮЧЕВЫЕ ПАРАМЕТРЫ ВЫБРАННОГО ТИПА</t>
  </si>
  <si>
    <t>Параметр</t>
  </si>
  <si>
    <t>Ед.</t>
  </si>
  <si>
    <t>Значение по типу</t>
  </si>
  <si>
    <t>Переопределить</t>
  </si>
  <si>
    <t>Принятое значение</t>
  </si>
  <si>
    <t>Назначение</t>
  </si>
  <si>
    <t>// 03  ДОПУЩЕНИЯ, ВОПРОСЫ И ОГРАНИЧЕНИЯ</t>
  </si>
  <si>
    <t>Тип</t>
  </si>
  <si>
    <t>Формулировка</t>
  </si>
  <si>
    <t>Источник / основание</t>
  </si>
  <si>
    <t>Детализация этапов и работ</t>
  </si>
  <si>
    <t>Синие/жёлтые поля — ввод или переопределение. Формулы извлекают код роли после символа #, поэтому разделитель в названии роли не критичен.</t>
  </si>
  <si>
    <t>№ этапа</t>
  </si>
  <si>
    <t>№ работы</t>
  </si>
  <si>
    <t>Работа</t>
  </si>
  <si>
    <t>Роль</t>
  </si>
  <si>
    <t>Часы ИИ</t>
  </si>
  <si>
    <t>Комментарий к часам (ИИ)</t>
  </si>
  <si>
    <t>База часов</t>
  </si>
  <si>
    <t>Кол-во (override)</t>
  </si>
  <si>
    <t>Ставка продажи (override)</t>
  </si>
  <si>
    <t>Себестоимость (override)</t>
  </si>
  <si>
    <t>Код роли</t>
  </si>
  <si>
    <t>Ставка продажи</t>
  </si>
  <si>
    <t>Принятая база</t>
  </si>
  <si>
    <t>Множитель</t>
  </si>
  <si>
    <t>Расчётные часы</t>
  </si>
  <si>
    <t>Цена труда</t>
  </si>
  <si>
    <t>Себестоимость труда</t>
  </si>
  <si>
    <t>Экв. раб. дни</t>
  </si>
  <si>
    <t>Контроль</t>
  </si>
  <si>
    <t>Площадка / контур</t>
  </si>
  <si>
    <t>Комментарий / допущение</t>
  </si>
  <si>
    <t>Провайдеры, лицензии, оборудование и прочие расходы</t>
  </si>
  <si>
    <t>Если цена продажи за единицу заполнена, она имеет приоритет. Иначе применяется метод выбранного типа: маржа или наценка. Для ежемесячных строк применяется срок договора.</t>
  </si>
  <si>
    <t>Категория</t>
  </si>
  <si>
    <t>Описание</t>
  </si>
  <si>
    <t>Количество</t>
  </si>
  <si>
    <t>Себестоимость за ед.</t>
  </si>
  <si>
    <t>Цена продажи за ед. (ручная)</t>
  </si>
  <si>
    <t>Периодичность</t>
  </si>
  <si>
    <t>Итого себестоимость</t>
  </si>
  <si>
    <t>Итого цена</t>
  </si>
  <si>
    <t>Комментарий</t>
  </si>
  <si>
    <t>Код типа</t>
  </si>
  <si>
    <t>Направление</t>
  </si>
  <si>
    <t>Продукт</t>
  </si>
  <si>
    <t>Ориентир срока, мес.</t>
  </si>
  <si>
    <t>Тип сделки</t>
  </si>
  <si>
    <t>Расчётная модель</t>
  </si>
  <si>
    <t>База часов по умолчанию</t>
  </si>
  <si>
    <t>Метод внешних затрат</t>
  </si>
  <si>
    <t>SUP_Complex</t>
  </si>
  <si>
    <t>DIT</t>
  </si>
  <si>
    <t>Комплексная поддержка</t>
  </si>
  <si>
    <t>Комплексное обслуживание ИТ-инфраструктуры</t>
  </si>
  <si>
    <t>Услуги</t>
  </si>
  <si>
    <t>Возобновляемая</t>
  </si>
  <si>
    <t>Поддержка</t>
  </si>
  <si>
    <t>В месяц</t>
  </si>
  <si>
    <t>По наценке</t>
  </si>
  <si>
    <t>SUP_L1</t>
  </si>
  <si>
    <t>Колл-центр, поддержка</t>
  </si>
  <si>
    <t>Первая линия и обработка обращений</t>
  </si>
  <si>
    <t>Разовая</t>
  </si>
  <si>
    <t>SUP_L2</t>
  </si>
  <si>
    <t>Поддержка пользователей и рабочих мест</t>
  </si>
  <si>
    <t>Вторая линия и поддержка рабочих мест</t>
  </si>
  <si>
    <t>SUP_L3_HW</t>
  </si>
  <si>
    <t>Инфраструктура с аппаратной поддержкой</t>
  </si>
  <si>
    <t>Третья линия и аппаратная поддержка</t>
  </si>
  <si>
    <t>SUP_L3_SW</t>
  </si>
  <si>
    <t>Инфраструктура без аппаратной поддержки</t>
  </si>
  <si>
    <t>Третья линия без аппаратной поддержки</t>
  </si>
  <si>
    <t>SUP_SUPPLIER</t>
  </si>
  <si>
    <t>Проекты с подрядом</t>
  </si>
  <si>
    <t>Услуги с существенной долей внешнего подрядчика</t>
  </si>
  <si>
    <t>Подряд</t>
  </si>
  <si>
    <t>По марже</t>
  </si>
  <si>
    <t>SUP_IT_Audit</t>
  </si>
  <si>
    <t>ИТ-аудит</t>
  </si>
  <si>
    <t>Обследование инфраструктуры и бизнес-процессов</t>
  </si>
  <si>
    <t>Аудит</t>
  </si>
  <si>
    <t>SUP_IT_Consulting</t>
  </si>
  <si>
    <t>ИТ-консалтинг</t>
  </si>
  <si>
    <t>Архитектура, DR, сети, СРК, мониторинг, регламенты</t>
  </si>
  <si>
    <t>Консалтинг</t>
  </si>
  <si>
    <t>SUP_IT_Implementation</t>
  </si>
  <si>
    <t>Внедрение инфраструктуры</t>
  </si>
  <si>
    <t>Виртуализация, инфраструктурные сервисы, миграции и обновления</t>
  </si>
  <si>
    <t>Внедрение</t>
  </si>
  <si>
    <t>SUP_Cloud_Consulting</t>
  </si>
  <si>
    <t>Облачный консалтинг</t>
  </si>
  <si>
    <t>Архитектура, миграции и проектирование облачного решения</t>
  </si>
  <si>
    <t>SUP_Cloud_IaaS</t>
  </si>
  <si>
    <t>Облачные ресурсы IaaS</t>
  </si>
  <si>
    <t>Продажа облачных ресурсов и сервисов</t>
  </si>
  <si>
    <t>Cloud</t>
  </si>
  <si>
    <t>Облако</t>
  </si>
  <si>
    <t>SUP_Cloud_PaaS</t>
  </si>
  <si>
    <t>Облачная платформа PaaS</t>
  </si>
  <si>
    <t>IaaS, базовые сервисы, лицензии и поддержка</t>
  </si>
  <si>
    <t>SUP_Cloud_SaaS</t>
  </si>
  <si>
    <t>Собственный SaaS</t>
  </si>
  <si>
    <t>Продажа собственных SaaS-продуктов</t>
  </si>
  <si>
    <t>SUP_Cloud_Subscription</t>
  </si>
  <si>
    <t>Подписка стороннего вендора</t>
  </si>
  <si>
    <t>ПО сторонних вендоров по модели подписки</t>
  </si>
  <si>
    <t>Подписка</t>
  </si>
  <si>
    <t>SUP_App_Support</t>
  </si>
  <si>
    <t>Поддержка приложений</t>
  </si>
  <si>
    <t>Эксплуатационная поддержка приложений</t>
  </si>
  <si>
    <t>SUP_IT_office</t>
  </si>
  <si>
    <t>Внедрение офисных пакетов</t>
  </si>
  <si>
    <t>Внедрение российского офисного ПО</t>
  </si>
  <si>
    <t>ПО</t>
  </si>
  <si>
    <t>Поставка + внедрение</t>
  </si>
  <si>
    <t>SUP_import_sub_infra</t>
  </si>
  <si>
    <t>Импортозамещение инфраструктуры</t>
  </si>
  <si>
    <t>Миграция и замена инфраструктурных компонентов</t>
  </si>
  <si>
    <t>SUP_HW</t>
  </si>
  <si>
    <t>Поставка оборудования</t>
  </si>
  <si>
    <t>Поставка оборудования по спецификации</t>
  </si>
  <si>
    <t>Оборудование</t>
  </si>
  <si>
    <t>Поставка</t>
  </si>
  <si>
    <t>SUP_SW</t>
  </si>
  <si>
    <t>Поставка ПО</t>
  </si>
  <si>
    <t>Поставка лицензий по лицензионному договору</t>
  </si>
  <si>
    <t>SUP_Leasing</t>
  </si>
  <si>
    <t>Аренда оборудования</t>
  </si>
  <si>
    <t>Аренда оборудования с возможными сервисными работами</t>
  </si>
  <si>
    <t>Аренда</t>
  </si>
  <si>
    <t>SEC_Audit</t>
  </si>
  <si>
    <t>SEC</t>
  </si>
  <si>
    <t>Аудит инфраструктуры</t>
  </si>
  <si>
    <t>Аудит информационной безопасности</t>
  </si>
  <si>
    <t>SEC_Support</t>
  </si>
  <si>
    <t>Поддержка системы</t>
  </si>
  <si>
    <t>Поддержка системы информационной безопасности</t>
  </si>
  <si>
    <t>SEC_Implementation</t>
  </si>
  <si>
    <t>Внедрение системы</t>
  </si>
  <si>
    <t>Внедрение решения информационной безопасности</t>
  </si>
  <si>
    <t>SEC_HW</t>
  </si>
  <si>
    <t>Поставка оборудования информационной безопасности</t>
  </si>
  <si>
    <t>SEC_SW</t>
  </si>
  <si>
    <t>Поставка лицензий</t>
  </si>
  <si>
    <t>SEC_Complex</t>
  </si>
  <si>
    <t>Комплексная поддержка решений ИБ</t>
  </si>
  <si>
    <t>Слот</t>
  </si>
  <si>
    <t>Значение по умолчанию</t>
  </si>
  <si>
    <t>Обязателен</t>
  </si>
  <si>
    <t>Код влияния</t>
  </si>
  <si>
    <t>Как влияет</t>
  </si>
  <si>
    <t>Пользователей / рабочих мест</t>
  </si>
  <si>
    <t>шт.</t>
  </si>
  <si>
    <t>Да</t>
  </si>
  <si>
    <t>QTY</t>
  </si>
  <si>
    <t>Используется для строк «На единицу»</t>
  </si>
  <si>
    <t>Срок обслуживания</t>
  </si>
  <si>
    <t>мес.</t>
  </si>
  <si>
    <t>TERM_MONTHS</t>
  </si>
  <si>
    <t>Множитель для ежемесячных работ</t>
  </si>
  <si>
    <t>Окно поддержки</t>
  </si>
  <si>
    <t>ч/нед.</t>
  </si>
  <si>
    <t>Нет</t>
  </si>
  <si>
    <t>INFO</t>
  </si>
  <si>
    <t>Контекст нагрузки и сменности</t>
  </si>
  <si>
    <t>Обращений / событий в месяц</t>
  </si>
  <si>
    <t>Контекст нагрузки</t>
  </si>
  <si>
    <t>SLA реакции</t>
  </si>
  <si>
    <t>ч</t>
  </si>
  <si>
    <t>Контекст уровня сервиса</t>
  </si>
  <si>
    <t>Параллельная команда</t>
  </si>
  <si>
    <t>FTE</t>
  </si>
  <si>
    <t>PARALLEL_FTE</t>
  </si>
  <si>
    <t>Оценка календарной нагрузки</t>
  </si>
  <si>
    <t>Резерв рисков</t>
  </si>
  <si>
    <t>%</t>
  </si>
  <si>
    <t>RISK_PCT</t>
  </si>
  <si>
    <t>Добавляется к трудозатратам</t>
  </si>
  <si>
    <t>Наценка внешних затрат</t>
  </si>
  <si>
    <t>MARKUP</t>
  </si>
  <si>
    <t>Применяется при отсутствии ручной цены</t>
  </si>
  <si>
    <t>Пользователей / абонентов</t>
  </si>
  <si>
    <t>Рабочих мест</t>
  </si>
  <si>
    <t>Единиц оборудования</t>
  </si>
  <si>
    <t>Серверов / систем</t>
  </si>
  <si>
    <t>Объём подрядных работ</t>
  </si>
  <si>
    <t>ед.</t>
  </si>
  <si>
    <t>Срок договора</t>
  </si>
  <si>
    <t>Множитель ежемесячных затрат</t>
  </si>
  <si>
    <t>Целевая маржа внешних затрат</t>
  </si>
  <si>
    <t>TARGET_MARGIN</t>
  </si>
  <si>
    <t>Обязательна, если цена не задана вручную</t>
  </si>
  <si>
    <t>Срок мобилизации подрядчика</t>
  </si>
  <si>
    <t>раб. дн.</t>
  </si>
  <si>
    <t>LEAD_DAYS</t>
  </si>
  <si>
    <t>Добавляется к сроку</t>
  </si>
  <si>
    <t>Сложность координации</t>
  </si>
  <si>
    <t>коэф.</t>
  </si>
  <si>
    <t>COMPLEXITY</t>
  </si>
  <si>
    <t>Множитель внутренних часов</t>
  </si>
  <si>
    <t>Оценка срока</t>
  </si>
  <si>
    <t>Добавляется к внутренним часам</t>
  </si>
  <si>
    <t>SLA подрядчика</t>
  </si>
  <si>
    <t>текст</t>
  </si>
  <si>
    <t>Контекст проверки</t>
  </si>
  <si>
    <t>Систем / контуров обследования</t>
  </si>
  <si>
    <t>Используется только для строк с базой «На единицу»</t>
  </si>
  <si>
    <t>Площадок</t>
  </si>
  <si>
    <t>Контекст для декомпозиции и проверки часов</t>
  </si>
  <si>
    <t>Глубина обследования</t>
  </si>
  <si>
    <t>Множитель трудозатрат</t>
  </si>
  <si>
    <t>Параллельных специалистов</t>
  </si>
  <si>
    <t>Используется при оценке календарного срока</t>
  </si>
  <si>
    <t>Срок согласований</t>
  </si>
  <si>
    <t>Добавляется к сроку разового проекта</t>
  </si>
  <si>
    <t>Размер выборки</t>
  </si>
  <si>
    <t>объектов</t>
  </si>
  <si>
    <t>Контекст для экспертной проверки</t>
  </si>
  <si>
    <t>Объём документации</t>
  </si>
  <si>
    <t>док.</t>
  </si>
  <si>
    <t>Архитектурных доменов</t>
  </si>
  <si>
    <t>Площадок / организаций</t>
  </si>
  <si>
    <t>Контекст оценки</t>
  </si>
  <si>
    <t>Рабочих сессий</t>
  </si>
  <si>
    <t>Сложность</t>
  </si>
  <si>
    <t>Объектов / сервисов</t>
  </si>
  <si>
    <t>Интеграций / миграционных потоков</t>
  </si>
  <si>
    <t>Срок поставок / доступов</t>
  </si>
  <si>
    <t>Облачных доменов / потоков</t>
  </si>
  <si>
    <t>Ресурсных единиц / ВМ</t>
  </si>
  <si>
    <t>Срок подписки</t>
  </si>
  <si>
    <t>Множитель ежемесячных работ и затрат</t>
  </si>
  <si>
    <t>Доступность / SLA</t>
  </si>
  <si>
    <t>Контекст конфигурации</t>
  </si>
  <si>
    <t>Трафик / объём данных</t>
  </si>
  <si>
    <t>ТБ/мес.</t>
  </si>
  <si>
    <t>Контекст затрат провайдера</t>
  </si>
  <si>
    <t>Срок запуска</t>
  </si>
  <si>
    <t>Добавляется к сроку запуска</t>
  </si>
  <si>
    <t>Оценка запуска</t>
  </si>
  <si>
    <t>Экземпляров платформы</t>
  </si>
  <si>
    <t>Пользователей / подписок</t>
  </si>
  <si>
    <t>Лицензий / подписок</t>
  </si>
  <si>
    <t>Пользователей / приложений</t>
  </si>
  <si>
    <t>Лицензий / пользователей</t>
  </si>
  <si>
    <t>Срок поставки</t>
  </si>
  <si>
    <t>Добавляется к сроку проекта</t>
  </si>
  <si>
    <t>Срок лицензии</t>
  </si>
  <si>
    <t>Коммерческий контекст</t>
  </si>
  <si>
    <t>Площадок поставки</t>
  </si>
  <si>
    <t>Контекст логистики</t>
  </si>
  <si>
    <t>Сложность внедрения</t>
  </si>
  <si>
    <t>Оценка срока работ</t>
  </si>
  <si>
    <t>Систем / миграционных потоков</t>
  </si>
  <si>
    <t>Гарантия</t>
  </si>
  <si>
    <t>Срок аренды</t>
  </si>
  <si>
    <t>Целевая маржа</t>
  </si>
  <si>
    <t>Депозит</t>
  </si>
  <si>
    <t>Оценка срока запуска</t>
  </si>
  <si>
    <t>Уровень обслуживания</t>
  </si>
  <si>
    <t>Контекст эксплуатации</t>
  </si>
  <si>
    <t>Систем / сегментов ИБ</t>
  </si>
  <si>
    <t>Систем / узлов ИБ</t>
  </si>
  <si>
    <t>Систем / компонентов ИБ</t>
  </si>
  <si>
    <t>Единиц оборудования ИБ</t>
  </si>
  <si>
    <t>Лицензий ИБ</t>
  </si>
  <si>
    <t>Ставка продажи, руб./ч</t>
  </si>
  <si>
    <t>Себестоимость, руб./ч</t>
  </si>
  <si>
    <t>Средняя ставка продажи</t>
  </si>
  <si>
    <t>Средняя себестоимость</t>
  </si>
  <si>
    <t>6034</t>
  </si>
  <si>
    <t>Тимлид-Архитектор ИБ | #6034</t>
  </si>
  <si>
    <t>6035</t>
  </si>
  <si>
    <t>Ведущий инженер ИБ | #6035</t>
  </si>
  <si>
    <t>DIT / SUPP</t>
  </si>
  <si>
    <t>6036</t>
  </si>
  <si>
    <t>Пентестер | #6036</t>
  </si>
  <si>
    <t>Примечание</t>
  </si>
  <si>
    <t>Средние значения сохранены справочно</t>
  </si>
  <si>
    <t>В строках расчёта используются ставки конкретных ролей</t>
  </si>
  <si>
    <t>6037</t>
  </si>
  <si>
    <t>Ведущий Архитектор ИБ | #6037</t>
  </si>
  <si>
    <t>6039</t>
  </si>
  <si>
    <t>Архитектор ИБ | #6039</t>
  </si>
  <si>
    <t>472</t>
  </si>
  <si>
    <t>Руководитель дежурной смены | #472</t>
  </si>
  <si>
    <t>473</t>
  </si>
  <si>
    <t>Супервизор - Руководитель группы | #473</t>
  </si>
  <si>
    <t>474</t>
  </si>
  <si>
    <t>L1 Инженер дежурной смены | #474</t>
  </si>
  <si>
    <t>475</t>
  </si>
  <si>
    <t>L2 Инженер технической поддержки | #475</t>
  </si>
  <si>
    <t>476</t>
  </si>
  <si>
    <t>Руководитель 3 линии | #476</t>
  </si>
  <si>
    <t>477</t>
  </si>
  <si>
    <t>Тимлид - Руководитель группы | #477</t>
  </si>
  <si>
    <t>478</t>
  </si>
  <si>
    <t>L3 Сетевой инженер | #478</t>
  </si>
  <si>
    <t>479</t>
  </si>
  <si>
    <t>L3 Windows инженер | #479</t>
  </si>
  <si>
    <t>480</t>
  </si>
  <si>
    <t>L3 Архитектор | #480</t>
  </si>
  <si>
    <t>1202</t>
  </si>
  <si>
    <t>L3 DevOps-инженер | #1202</t>
  </si>
  <si>
    <t>1204</t>
  </si>
  <si>
    <t>Руководитель проектного офиса | #1204</t>
  </si>
  <si>
    <t>1205</t>
  </si>
  <si>
    <t>Менеджер проектов | #1205</t>
  </si>
  <si>
    <t>1206</t>
  </si>
  <si>
    <t>Администратор проектов | #1206</t>
  </si>
  <si>
    <t>1207</t>
  </si>
  <si>
    <t>L3 DBA инженер | #1207</t>
  </si>
  <si>
    <t>Контроли модели</t>
  </si>
  <si>
    <t>MODEL STATUS</t>
  </si>
  <si>
    <t>Проверка</t>
  </si>
  <si>
    <t>Дельта / значение</t>
  </si>
  <si>
    <t>Где исправить</t>
  </si>
  <si>
    <t>Статус</t>
  </si>
  <si>
    <t>Тип проекта распознан</t>
  </si>
  <si>
    <t>Ввод!B5</t>
  </si>
  <si>
    <t>Должно быть 1</t>
  </si>
  <si>
    <t>Строки с отсутствующей ставкой</t>
  </si>
  <si>
    <t>Расчёт!M:N</t>
  </si>
  <si>
    <t>0 либо ручные ставки</t>
  </si>
  <si>
    <t>Строки с некорректными часами</t>
  </si>
  <si>
    <t>Расчёт!F:F</t>
  </si>
  <si>
    <t>Должно быть 0</t>
  </si>
  <si>
    <t>Незаполненные обязательные параметры</t>
  </si>
  <si>
    <t>Технические данные!I12:I19</t>
  </si>
  <si>
    <t>Срок для ежемесячных строк</t>
  </si>
  <si>
    <t>Ключевые параметры: срок</t>
  </si>
  <si>
    <t>Должен быть &gt; 0 при ежемесячных строках</t>
  </si>
  <si>
    <t>Маржа внешних затрат</t>
  </si>
  <si>
    <t>Ключевые параметры: маржа</t>
  </si>
  <si>
    <t>0 &lt; маржа &lt; 95% при наличии внешних затрат</t>
  </si>
  <si>
    <t>Ввод!B9</t>
  </si>
  <si>
    <t>Должно быть &gt; 0</t>
  </si>
  <si>
    <t>Строки с отрицательными исходными часами</t>
  </si>
  <si>
    <t>Технические данные и служебные параметры</t>
  </si>
  <si>
    <t>Архив параметров, исключённых из пользовательского ввода</t>
  </si>
  <si>
    <t>Параметры выбранного типа</t>
  </si>
  <si>
    <t>Режим оценки</t>
  </si>
  <si>
    <t>Бюджетная</t>
  </si>
  <si>
    <t>Классификация проекта</t>
  </si>
  <si>
    <t>Уверенность оценки</t>
  </si>
  <si>
    <t>Пользовательское название типа</t>
  </si>
  <si>
    <t>Плановая дата старта</t>
  </si>
  <si>
    <t>Логика расчёта</t>
  </si>
  <si>
    <t>Источник / версия ТЗ</t>
  </si>
  <si>
    <t>Категория предложения</t>
  </si>
  <si>
    <t>Коммерческий резерв (исключён из цены)</t>
  </si>
  <si>
    <t>Типовой срок, мес.</t>
  </si>
  <si>
    <t>Справочный срок</t>
  </si>
  <si>
    <t>Разовая или возобновляемая модель</t>
  </si>
  <si>
    <t>Полный набор параметров выбранного типа</t>
  </si>
  <si>
    <t>Интерпретация часов</t>
  </si>
  <si>
    <t>Логика</t>
  </si>
  <si>
    <t>№ на форме</t>
  </si>
  <si>
    <t>Авто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</si>
</sst>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&quot; ₽&quot;"/>
    <numFmt numFmtId="165" formatCode="dd\.mm\.yyyy"/>
    <numFmt numFmtId="166" formatCode="#,##0.0"/>
    <numFmt numFmtId="167" formatCode="0.0%"/>
    <numFmt numFmtId="168" formatCode="0.0"/>
    <numFmt numFmtId="169" formatCode="#,##0&quot; ₽&quot;;[Red]\(#,##0&quot; ₽&quot;\);\–"/>
  </numFmts>
  <fonts count="21" x14ac:knownFonts="1">
    <font>
      <sz val="11"/>
      <name val="Calibri"/>
    </font>
    <font>
      <b/>
      <sz val="11"/>
      <color rgb="FFFFFFFF"/>
      <name val="Calibri"/>
    </font>
    <font>
      <b/>
      <sz val="11"/>
      <color rgb="FF1F2937"/>
      <name val="Calibri"/>
    </font>
    <font>
      <b/>
      <sz val="16"/>
      <color rgb="FFFFFFFF"/>
      <name val="Verdana"/>
    </font>
    <font>
      <sz val="11"/>
      <name val="Verdana"/>
    </font>
    <font>
      <b/>
      <sz val="11"/>
      <color rgb="FFFFFFFF"/>
      <name val="Verdana"/>
    </font>
    <font>
      <b/>
      <sz val="10"/>
      <color rgb="FFFFFFFF"/>
      <name val="Verdana"/>
    </font>
    <font>
      <sz val="10"/>
      <color rgb="FF1F2937"/>
      <name val="Verdana"/>
    </font>
    <font>
      <sz val="10"/>
      <color rgb="FF002FA7"/>
      <name val="Verdana"/>
    </font>
    <font>
      <sz val="11"/>
      <color rgb="FF1F2937"/>
      <name val="Verdana"/>
    </font>
    <font>
      <b/>
      <sz val="13"/>
      <color rgb="FFFFFFFF"/>
      <name val="Verdana"/>
    </font>
    <font>
      <sz val="11"/>
      <name val="Calibri"/>
    </font>
    <font>
      <sz val="11"/>
      <color rgb="FF121239"/>
      <name val="Calibri"/>
    </font>
    <font>
      <i/>
      <sz val="11"/>
      <color rgb="FF667085"/>
      <name val="Calibri"/>
    </font>
    <font>
      <b/>
      <sz val="11"/>
      <color rgb="FF121239"/>
      <name val="Calibri"/>
    </font>
    <font>
      <b/>
      <sz val="11"/>
      <color rgb="FF7948F4"/>
      <name val="Calibri"/>
    </font>
    <font>
      <sz val="10"/>
      <color rgb="FF121239"/>
      <name val="Verdana"/>
    </font>
    <font>
      <b/>
      <sz val="10"/>
      <color rgb="FF121239"/>
      <name val="Verdana"/>
    </font>
    <font>
      <b/>
      <sz val="10"/>
      <color rgb="FF7948F4"/>
      <name val="Verdana"/>
    </font>
    <font>
      <sz val="10"/>
      <color rgb="FF667085"/>
      <name val="Verdana"/>
    </font>
    <font>
      <i/>
      <sz val="10"/>
      <color rgb="FF667085"/>
      <name val="Verdana"/>
    </font>
  </fonts>
  <fills count="18">
    <fill>
      <patternFill patternType="none"/>
    </fill>
    <fill>
      <patternFill patternType="gray125"/>
    </fill>
    <fill>
      <patternFill patternType="solid">
        <fgColor rgb="FF121239"/>
      </patternFill>
    </fill>
    <fill>
      <patternFill patternType="solid">
        <fgColor rgb="FF002FA7"/>
      </patternFill>
    </fill>
    <fill>
      <patternFill patternType="solid">
        <fgColor rgb="FFFFF2CC"/>
      </patternFill>
    </fill>
    <fill>
      <patternFill patternType="solid">
        <fgColor rgb="FFEAF0F8"/>
      </patternFill>
    </fill>
    <fill>
      <patternFill patternType="solid">
        <fgColor rgb="FF121239"/>
      </patternFill>
    </fill>
    <fill>
      <patternFill patternType="solid">
        <fgColor rgb="FF002FA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AF0F8"/>
      </patternFill>
    </fill>
    <fill>
      <patternFill patternType="solid">
        <fgColor rgb="FF0B3DB7"/>
      </patternFill>
    </fill>
    <fill>
      <patternFill patternType="solid">
        <fgColor rgb="FF121239"/>
      </patternFill>
    </fill>
    <fill>
      <patternFill patternType="solid">
        <fgColor rgb="FFF1F2F1"/>
      </patternFill>
    </fill>
    <fill>
      <patternFill patternType="solid">
        <fgColor rgb="FFFFFFFF"/>
      </patternFill>
    </fill>
    <fill>
      <patternFill patternType="solid">
        <fgColor rgb="FFF2EEFF"/>
      </patternFill>
    </fill>
    <fill>
      <patternFill patternType="solid">
        <fgColor rgb="FF7948F4"/>
      </patternFill>
    </fill>
    <fill>
      <patternFill patternType="solid">
        <fgColor rgb="FFF84239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BE7"/>
      </left>
      <right style="thin">
        <color rgb="FFD9DBE7"/>
      </right>
      <top style="thin">
        <color rgb="FFD9DBE7"/>
      </top>
      <bottom style="thin">
        <color rgb="FFD9DBE7"/>
      </bottom>
      <diagonal/>
    </border>
  </borders>
  <cellStyleXfs count="2">
    <xf numFmtId="0" fontId="0" fillId="0" borderId="0"/>
    <xf numFmtId="0" fontId="11" fillId="0" borderId="0"/>
  </cellStyleXfs>
  <cellXfs count="74">
    <xf numFmtId="0" fontId="0" fillId="0" borderId="0" xfId="0"/>
    <xf numFmtId="0" fontId="4" fillId="0" borderId="0" xfId="0" applyFont="1"/>
    <xf numFmtId="0" fontId="6" fillId="3" borderId="2" xfId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vertical="center"/>
    </xf>
    <xf numFmtId="0" fontId="7" fillId="0" borderId="2" xfId="1" applyFont="1" applyBorder="1" applyAlignment="1">
      <alignment vertical="center" wrapText="1"/>
    </xf>
    <xf numFmtId="0" fontId="8" fillId="4" borderId="2" xfId="1" applyFont="1" applyFill="1" applyBorder="1" applyAlignment="1">
      <alignment vertical="center" wrapText="1"/>
    </xf>
    <xf numFmtId="0" fontId="8" fillId="4" borderId="2" xfId="1" applyFont="1" applyFill="1" applyBorder="1" applyAlignment="1">
      <alignment vertical="center"/>
    </xf>
    <xf numFmtId="168" fontId="8" fillId="4" borderId="2" xfId="1" applyNumberFormat="1" applyFont="1" applyFill="1" applyBorder="1" applyAlignment="1">
      <alignment vertical="center"/>
    </xf>
    <xf numFmtId="164" fontId="8" fillId="4" borderId="2" xfId="1" applyNumberFormat="1" applyFont="1" applyFill="1" applyBorder="1" applyAlignment="1">
      <alignment vertical="center"/>
    </xf>
    <xf numFmtId="0" fontId="7" fillId="5" borderId="2" xfId="1" applyFont="1" applyFill="1" applyBorder="1" applyAlignment="1">
      <alignment vertical="center"/>
    </xf>
    <xf numFmtId="164" fontId="7" fillId="5" borderId="2" xfId="1" applyNumberFormat="1" applyFont="1" applyFill="1" applyBorder="1" applyAlignment="1">
      <alignment vertical="center"/>
    </xf>
    <xf numFmtId="2" fontId="7" fillId="5" borderId="2" xfId="1" applyNumberFormat="1" applyFont="1" applyFill="1" applyBorder="1" applyAlignment="1">
      <alignment vertical="center"/>
    </xf>
    <xf numFmtId="168" fontId="7" fillId="5" borderId="2" xfId="1" applyNumberFormat="1" applyFont="1" applyFill="1" applyBorder="1" applyAlignment="1">
      <alignment vertical="center"/>
    </xf>
    <xf numFmtId="164" fontId="7" fillId="0" borderId="2" xfId="1" applyNumberFormat="1" applyFont="1" applyBorder="1" applyAlignment="1">
      <alignment vertical="center"/>
    </xf>
    <xf numFmtId="0" fontId="10" fillId="2" borderId="2" xfId="1" applyFont="1" applyFill="1" applyBorder="1"/>
    <xf numFmtId="167" fontId="7" fillId="0" borderId="2" xfId="1" applyNumberFormat="1" applyFont="1" applyBorder="1" applyAlignment="1">
      <alignment vertical="center" wrapText="1"/>
    </xf>
    <xf numFmtId="168" fontId="7" fillId="0" borderId="2" xfId="1" applyNumberFormat="1" applyFont="1" applyBorder="1" applyAlignment="1">
      <alignment vertical="center" wrapText="1"/>
    </xf>
    <xf numFmtId="0" fontId="2" fillId="8" borderId="1" xfId="0" applyNumberFormat="1" applyFont="1" applyFill="1" applyBorder="1" applyAlignment="1">
      <alignment wrapText="1"/>
    </xf>
    <xf numFmtId="0" fontId="0" fillId="10" borderId="2" xfId="0" applyNumberFormat="1" applyFont="1" applyFill="1" applyBorder="1" applyAlignment="1">
      <alignment wrapText="1"/>
    </xf>
    <xf numFmtId="0" fontId="1" fillId="11" borderId="2" xfId="0" applyNumberFormat="1" applyFont="1" applyFill="1" applyBorder="1" applyAlignment="1">
      <alignment horizontal="center" vertical="center" wrapText="1"/>
    </xf>
    <xf numFmtId="0" fontId="6" fillId="11" borderId="2" xfId="0" applyNumberFormat="1" applyFont="1" applyFill="1" applyBorder="1" applyAlignment="1">
      <alignment horizontal="center" vertical="center" wrapText="1"/>
    </xf>
    <xf numFmtId="0" fontId="8" fillId="9" borderId="2" xfId="0" applyNumberFormat="1" applyFont="1" applyFill="1" applyBorder="1" applyAlignment="1">
      <alignment vertical="top" wrapText="1"/>
    </xf>
    <xf numFmtId="0" fontId="2" fillId="8" borderId="2" xfId="0" applyNumberFormat="1" applyFont="1" applyFill="1" applyBorder="1" applyAlignment="1">
      <alignment wrapText="1"/>
    </xf>
    <xf numFmtId="0" fontId="0" fillId="0" borderId="2" xfId="0" applyNumberFormat="1" applyFont="1" applyFill="1" applyBorder="1" applyAlignment="1">
      <alignment wrapText="1"/>
    </xf>
    <xf numFmtId="167" fontId="0" fillId="10" borderId="2" xfId="0" applyNumberFormat="1" applyFont="1" applyFill="1" applyBorder="1" applyAlignment="1">
      <alignment wrapText="1"/>
    </xf>
    <xf numFmtId="165" fontId="0" fillId="10" borderId="2" xfId="0" applyNumberFormat="1" applyFont="1" applyFill="1" applyBorder="1" applyAlignment="1">
      <alignment wrapText="1"/>
    </xf>
    <xf numFmtId="0" fontId="0" fillId="0" borderId="0" xfId="0"/>
    <xf numFmtId="0" fontId="12" fillId="0" borderId="0" xfId="0" applyNumberFormat="1" applyFont="1" applyFill="1" applyBorder="1"/>
    <xf numFmtId="167" fontId="15" fillId="15" borderId="3" xfId="0" applyNumberFormat="1" applyFont="1" applyFill="1" applyBorder="1" applyAlignment="1">
      <alignment horizontal="center" vertical="center"/>
    </xf>
    <xf numFmtId="0" fontId="1" fillId="16" borderId="3" xfId="0" applyNumberFormat="1" applyFont="1" applyFill="1" applyBorder="1" applyAlignment="1">
      <alignment horizontal="center" vertical="center" wrapText="1"/>
    </xf>
    <xf numFmtId="0" fontId="12" fillId="14" borderId="3" xfId="0" applyNumberFormat="1" applyFont="1" applyFill="1" applyBorder="1" applyAlignment="1">
      <alignment vertical="top" wrapText="1"/>
    </xf>
    <xf numFmtId="0" fontId="12" fillId="14" borderId="3" xfId="0" applyNumberFormat="1" applyFont="1" applyFill="1" applyBorder="1" applyAlignment="1">
      <alignment horizontal="center" vertical="top" wrapText="1"/>
    </xf>
    <xf numFmtId="166" fontId="12" fillId="14" borderId="3" xfId="0" applyNumberFormat="1" applyFont="1" applyFill="1" applyBorder="1" applyAlignment="1">
      <alignment horizontal="right" vertical="top" wrapText="1"/>
    </xf>
    <xf numFmtId="169" fontId="12" fillId="14" borderId="3" xfId="0" applyNumberFormat="1" applyFont="1" applyFill="1" applyBorder="1" applyAlignment="1">
      <alignment horizontal="right" vertical="top" wrapText="1"/>
    </xf>
    <xf numFmtId="0" fontId="16" fillId="0" borderId="0" xfId="0" applyNumberFormat="1" applyFont="1" applyFill="1" applyBorder="1"/>
    <xf numFmtId="0" fontId="17" fillId="14" borderId="3" xfId="0" applyNumberFormat="1" applyFont="1" applyFill="1" applyBorder="1" applyAlignment="1">
      <alignment vertical="center" wrapText="1"/>
    </xf>
    <xf numFmtId="0" fontId="16" fillId="15" borderId="3" xfId="0" applyNumberFormat="1" applyFont="1" applyFill="1" applyBorder="1" applyAlignment="1">
      <alignment vertical="top" wrapText="1"/>
    </xf>
    <xf numFmtId="0" fontId="6" fillId="12" borderId="3" xfId="0" applyNumberFormat="1" applyFont="1" applyFill="1" applyBorder="1" applyAlignment="1">
      <alignment horizontal="center" vertical="center" wrapText="1"/>
    </xf>
    <xf numFmtId="0" fontId="16" fillId="14" borderId="3" xfId="0" applyNumberFormat="1" applyFont="1" applyFill="1" applyBorder="1" applyAlignment="1">
      <alignment vertical="center" wrapText="1"/>
    </xf>
    <xf numFmtId="0" fontId="19" fillId="14" borderId="3" xfId="0" applyNumberFormat="1" applyFont="1" applyFill="1" applyBorder="1" applyAlignment="1">
      <alignment vertical="center" wrapText="1"/>
    </xf>
    <xf numFmtId="0" fontId="12" fillId="15" borderId="3" xfId="0" applyNumberFormat="1" applyFont="1" applyFill="1" applyBorder="1" applyAlignment="1">
      <alignment vertical="top" wrapText="1"/>
    </xf>
    <xf numFmtId="4" fontId="16" fillId="13" borderId="3" xfId="0" applyNumberFormat="1" applyFont="1" applyFill="1" applyBorder="1" applyAlignment="1">
      <alignment horizontal="right" vertical="center" wrapText="1"/>
    </xf>
    <xf numFmtId="4" fontId="18" fillId="15" borderId="3" xfId="0" applyNumberFormat="1" applyFont="1" applyFill="1" applyBorder="1" applyAlignment="1">
      <alignment horizontal="right" vertical="center" wrapText="1"/>
    </xf>
    <xf numFmtId="4" fontId="17" fillId="13" borderId="3" xfId="0" applyNumberFormat="1" applyFont="1" applyFill="1" applyBorder="1" applyAlignment="1">
      <alignment horizontal="right" vertical="center" wrapText="1"/>
    </xf>
    <xf numFmtId="0" fontId="12" fillId="14" borderId="3" xfId="0" applyNumberFormat="1" applyFont="1" applyFill="1" applyBorder="1" applyAlignment="1">
      <alignment vertical="top" wrapText="1"/>
    </xf>
    <xf numFmtId="0" fontId="13" fillId="13" borderId="0" xfId="0" applyNumberFormat="1" applyFont="1" applyFill="1" applyBorder="1" applyAlignment="1">
      <alignment vertical="center" wrapText="1"/>
    </xf>
    <xf numFmtId="0" fontId="1" fillId="12" borderId="0" xfId="0" applyNumberFormat="1" applyFont="1" applyFill="1" applyBorder="1" applyAlignment="1">
      <alignment horizontal="left" vertical="center"/>
    </xf>
    <xf numFmtId="0" fontId="1" fillId="16" borderId="3" xfId="0" applyNumberFormat="1" applyFont="1" applyFill="1" applyBorder="1" applyAlignment="1">
      <alignment horizontal="center" vertical="center" wrapText="1"/>
    </xf>
    <xf numFmtId="0" fontId="14" fillId="13" borderId="3" xfId="0" applyNumberFormat="1" applyFont="1" applyFill="1" applyBorder="1" applyAlignment="1">
      <alignment vertical="center" wrapText="1"/>
    </xf>
    <xf numFmtId="0" fontId="12" fillId="14" borderId="3" xfId="0" applyNumberFormat="1" applyFont="1" applyFill="1" applyBorder="1" applyAlignment="1">
      <alignment vertical="center" wrapText="1"/>
    </xf>
    <xf numFmtId="169" fontId="14" fillId="13" borderId="3" xfId="0" applyNumberFormat="1" applyFont="1" applyFill="1" applyBorder="1" applyAlignment="1">
      <alignment horizontal="right" vertical="center"/>
    </xf>
    <xf numFmtId="169" fontId="14" fillId="14" borderId="3" xfId="0" applyNumberFormat="1" applyFont="1" applyFill="1" applyBorder="1" applyAlignment="1">
      <alignment horizontal="right" vertical="center"/>
    </xf>
    <xf numFmtId="169" fontId="15" fillId="15" borderId="3" xfId="0" applyNumberFormat="1" applyFont="1" applyFill="1" applyBorder="1" applyAlignment="1">
      <alignment horizontal="right" vertical="center"/>
    </xf>
    <xf numFmtId="169" fontId="1" fillId="16" borderId="3" xfId="0" applyNumberFormat="1" applyFont="1" applyFill="1" applyBorder="1" applyAlignment="1">
      <alignment horizontal="right" vertical="center"/>
    </xf>
    <xf numFmtId="169" fontId="1" fillId="17" borderId="3" xfId="0" applyNumberFormat="1" applyFont="1" applyFill="1" applyBorder="1" applyAlignment="1">
      <alignment horizontal="right" vertical="center"/>
    </xf>
    <xf numFmtId="0" fontId="13" fillId="13" borderId="0" xfId="0" applyNumberFormat="1" applyFont="1" applyFill="1" applyBorder="1" applyAlignment="1">
      <alignment horizontal="left" vertical="center"/>
    </xf>
    <xf numFmtId="0" fontId="20" fillId="13" borderId="0" xfId="0" applyNumberFormat="1" applyFont="1" applyFill="1" applyBorder="1" applyAlignment="1">
      <alignment horizontal="left" vertical="center"/>
    </xf>
    <xf numFmtId="0" fontId="6" fillId="16" borderId="0" xfId="0" applyNumberFormat="1" applyFont="1" applyFill="1" applyBorder="1" applyAlignment="1">
      <alignment horizontal="left" vertical="center"/>
    </xf>
    <xf numFmtId="0" fontId="18" fillId="15" borderId="3" xfId="0" applyNumberFormat="1" applyFont="1" applyFill="1" applyBorder="1" applyAlignment="1">
      <alignment vertical="center" wrapText="1"/>
    </xf>
    <xf numFmtId="0" fontId="19" fillId="13" borderId="3" xfId="0" applyNumberFormat="1" applyFont="1" applyFill="1" applyBorder="1" applyAlignment="1">
      <alignment vertical="center" wrapText="1"/>
    </xf>
    <xf numFmtId="0" fontId="16" fillId="15" borderId="3" xfId="0" applyNumberFormat="1" applyFont="1" applyFill="1" applyBorder="1" applyAlignment="1">
      <alignment vertical="top" wrapText="1"/>
    </xf>
    <xf numFmtId="165" fontId="18" fillId="15" borderId="3" xfId="0" applyNumberFormat="1" applyFont="1" applyFill="1" applyBorder="1" applyAlignment="1">
      <alignment vertical="center" wrapText="1"/>
    </xf>
    <xf numFmtId="167" fontId="18" fillId="15" borderId="3" xfId="0" applyNumberFormat="1" applyFont="1" applyFill="1" applyBorder="1" applyAlignment="1">
      <alignment vertical="center" wrapText="1"/>
    </xf>
    <xf numFmtId="0" fontId="3" fillId="12" borderId="0" xfId="0" applyNumberFormat="1" applyFont="1" applyFill="1" applyBorder="1" applyAlignment="1">
      <alignment horizontal="left" vertical="center"/>
    </xf>
    <xf numFmtId="0" fontId="6" fillId="12" borderId="0" xfId="0" applyNumberFormat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/>
    </xf>
    <xf numFmtId="0" fontId="9" fillId="5" borderId="0" xfId="1" applyFont="1" applyFill="1" applyBorder="1" applyAlignment="1">
      <alignment wrapText="1"/>
    </xf>
    <xf numFmtId="0" fontId="10" fillId="2" borderId="2" xfId="1" applyFont="1" applyFill="1" applyBorder="1"/>
    <xf numFmtId="0" fontId="4" fillId="0" borderId="0" xfId="0" applyFont="1"/>
    <xf numFmtId="0" fontId="3" fillId="6" borderId="0" xfId="0" applyNumberFormat="1" applyFont="1" applyFill="1" applyBorder="1" applyAlignment="1">
      <alignment vertical="center"/>
    </xf>
    <xf numFmtId="0" fontId="5" fillId="7" borderId="0" xfId="0" applyNumberFormat="1" applyFont="1" applyFill="1" applyBorder="1" applyAlignment="1">
      <alignment vertical="center"/>
    </xf>
    <xf numFmtId="0" fontId="5" fillId="7" borderId="1" xfId="0" applyNumberFormat="1" applyFont="1" applyFill="1" applyBorder="1" applyAlignment="1">
      <alignment vertical="center" wrapText="1"/>
    </xf>
    <xf numFmtId="0" fontId="5" fillId="7" borderId="2" xfId="0" applyNumberFormat="1" applyFont="1" applyFill="1" applyBorder="1" applyAlignment="1">
      <alignment vertical="center" wrapText="1"/>
    </xf>
    <xf numFmtId="0" fontId="0" fillId="0" borderId="0" xfId="0"/>
  </cellXfs>
  <cellStyles count="2">
    <cellStyle name="Normal" xfId="1" xr:uid="{00000000-0005-0000-0000-000000000000}"/>
    <cellStyle name="Обычный" xfId="0" builtinId="0"/>
  </cellStyles>
  <dxfs count="6"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B91C1C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11113B"/>
      <rgbColor rgb="FF9C6500"/>
      <rgbColor rgb="FF800080"/>
      <rgbColor rgb="FF166534"/>
      <rgbColor rgb="FFB7B7B7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CBD5E1"/>
      <rgbColor rgb="FF121239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8"/>
      <rgbColor rgb="FFE2F0D9"/>
      <rgbColor rgb="FFFCE4D6"/>
      <rgbColor rgb="FFF2F2F2"/>
      <rgbColor rgb="FFFEE2E2"/>
      <rgbColor rgb="FFF4F6F8"/>
      <rgbColor rgb="FFFFD966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2FA7"/>
      <rgbColor rgb="FF339966"/>
      <rgbColor rgb="FF003300"/>
      <rgbColor rgb="FF333300"/>
      <rgbColor rgb="FFB91C1C"/>
      <rgbColor rgb="FF993366"/>
      <rgbColor rgb="FF0B3DB7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06b4a4c3663046a6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ltc:personList xmlns:xltc="http://schemas.microsoft.com/office/spreadsheetml/2018/threadedcomments">
  <xltc:person displayName="tc={259327C9-564F-94D4-577F-6C7DBD471040}" id="{3E37EBB6-5B69-053F-1F4E-3A8C00F816DD}"/>
  <xltc:person displayName="tc={6814D4DE-19F6-BBEA-D74A-F5BDBB6F72A2}" id="{C4026B07-7B51-C6C3-D7AF-199B991B6759}"/>
  <xltc:person displayName="tc={96C19C0E-3F6E-34C0-8500-F0B9775D3717}" id="{288CAF47-75DB-1F12-10CD-7DF1FC3F0CB5}"/>
  <xltc:person displayName="tc={91CAAA93-2C02-D886-DE8E-E597078FAD54}" id="{59EA6D7A-D174-E1F9-AFE4-05AA27459809}"/>
  <xltc:person displayName="tc={23B8E21E-8B63-721E-BC60-2F8B481423B7}" id="{A44DCEE1-C057-03DC-7504-DB97951E91B2}"/>
  <xltc:person displayName="tc={82EE6876-A228-E60B-787F-088A5E0F9F55}" id="{D0FCEC69-6B9F-8D46-39E5-ECA370990FC8}"/>
</xltc:personList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showGridLines="0" tabSelected="1" workbookViewId="0">
      <selection activeCell="C7" sqref="C7:E7"/>
    </sheetView>
  </sheetViews>
  <sheetFormatPr defaultColWidth="8.5546875" defaultRowHeight="14.4" x14ac:dyDescent="0.3"/>
  <cols>
    <col min="1" max="1" width="6" customWidth="1"/>
    <col min="2" max="2" width="27" customWidth="1"/>
    <col min="3" max="3" width="12" customWidth="1"/>
    <col min="4" max="4" width="18" customWidth="1"/>
    <col min="5" max="5" width="15" customWidth="1"/>
    <col min="6" max="6" width="36" customWidth="1"/>
    <col min="7" max="7" width="3" customWidth="1"/>
    <col min="8" max="8" width="23" customWidth="1"/>
    <col min="9" max="9" width="18" customWidth="1"/>
    <col min="10" max="10" width="23" customWidth="1"/>
    <col min="11" max="11" width="18" customWidth="1"/>
  </cols>
  <sheetData>
    <row r="1" spans="1:11" ht="25.95" customHeight="1" x14ac:dyDescent="0.3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25.95" customHeight="1" x14ac:dyDescent="0.3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1" ht="22.05" customHeight="1" x14ac:dyDescent="0.3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1" ht="22.5" customHeight="1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</row>
    <row r="5" spans="1:11" ht="25.05" customHeight="1" x14ac:dyDescent="0.3">
      <c r="A5" s="46" t="s">
        <v>2</v>
      </c>
      <c r="B5" s="46"/>
      <c r="C5" s="46"/>
      <c r="D5" s="46"/>
      <c r="E5" s="46"/>
      <c r="F5" s="27"/>
      <c r="G5" s="46" t="s">
        <v>3</v>
      </c>
      <c r="H5" s="46"/>
      <c r="I5" s="46"/>
      <c r="J5" s="46"/>
      <c r="K5" s="46"/>
    </row>
    <row r="6" spans="1:11" ht="31.05" customHeight="1" x14ac:dyDescent="0.3">
      <c r="A6" s="48" t="s">
        <v>4</v>
      </c>
      <c r="B6" s="48"/>
      <c r="C6" s="49" t="str">
        <f>IF(Ввод!$B$4="","",Ввод!$B$4)</f>
        <v/>
      </c>
      <c r="D6" s="49"/>
      <c r="E6" s="49"/>
      <c r="F6" s="27"/>
      <c r="G6" s="48" t="s">
        <v>5</v>
      </c>
      <c r="H6" s="48"/>
      <c r="I6" s="50">
        <f>SUM(Расчёт!$S$6:$S$55)+SUM('Внешние затраты'!$I$6:$I$25)</f>
        <v>0</v>
      </c>
      <c r="J6" s="50"/>
      <c r="K6" s="50"/>
    </row>
    <row r="7" spans="1:11" ht="31.05" customHeight="1" x14ac:dyDescent="0.3">
      <c r="A7" s="48" t="s">
        <v>6</v>
      </c>
      <c r="B7" s="48"/>
      <c r="C7" s="49" t="str">
        <f>IF(Ввод!$B$5="","",IFERROR(VLOOKUP(Ввод!$B$5,'Справочник типов'!$A$2:$C$27,3,0),Ввод!$B$5))</f>
        <v/>
      </c>
      <c r="D7" s="49"/>
      <c r="E7" s="49"/>
      <c r="F7" s="27"/>
      <c r="G7" s="48" t="s">
        <v>7</v>
      </c>
      <c r="H7" s="48"/>
      <c r="I7" s="51">
        <f>SUM(Расчёт!$R$6:$R$55)+SUM('Внешние затраты'!$J$6:$J$25)</f>
        <v>0</v>
      </c>
      <c r="J7" s="51"/>
      <c r="K7" s="51"/>
    </row>
    <row r="8" spans="1:11" ht="31.05" customHeight="1" x14ac:dyDescent="0.3">
      <c r="A8" s="48" t="s">
        <v>8</v>
      </c>
      <c r="B8" s="48"/>
      <c r="C8" s="49" t="str">
        <f>IF(Ввод!$B$6="","",Ввод!$B$6)</f>
        <v/>
      </c>
      <c r="D8" s="49"/>
      <c r="E8" s="49"/>
      <c r="F8" s="27"/>
      <c r="G8" s="48" t="s">
        <v>9</v>
      </c>
      <c r="H8" s="48"/>
      <c r="I8" s="28">
        <f>Ввод!$B$8</f>
        <v>0</v>
      </c>
      <c r="J8" s="52">
        <f>I7*I8</f>
        <v>0</v>
      </c>
      <c r="K8" s="52"/>
    </row>
    <row r="9" spans="1:11" ht="31.05" customHeight="1" x14ac:dyDescent="0.3">
      <c r="A9" s="48" t="s">
        <v>10</v>
      </c>
      <c r="B9" s="48"/>
      <c r="C9" s="49" t="str">
        <f>IF(Ввод!$B$5="","",IF(OR(IFERROR(VLOOKUP(Ввод!$B$5,'Справочник типов'!$A$2:$J$27,7,0),"")="Возобновляемая",IFERROR(VLOOKUP(Ввод!$B$5,'Справочник типов'!$A$2:$J$27,8,0),"")="Поддержка"),MAX(1,SUMIF('Технические данные'!$F$12:$F$19,"TERM_MONTHS",'Технические данные'!$I$12:$I$19))&amp;" мес.",ROUNDUP(SUM(Расчёт!$T$6:$T$55)+SUMIF('Технические данные'!$F$12:$F$19,"LEAD_DAYS",'Технические данные'!$I$12:$I$19),0)&amp;" раб. дн."))</f>
        <v/>
      </c>
      <c r="D9" s="49"/>
      <c r="E9" s="49"/>
      <c r="F9" s="27"/>
      <c r="G9" s="48" t="s">
        <v>11</v>
      </c>
      <c r="H9" s="48"/>
      <c r="I9" s="53">
        <f>I7-J8</f>
        <v>0</v>
      </c>
      <c r="J9" s="53"/>
      <c r="K9" s="53"/>
    </row>
    <row r="10" spans="1:11" ht="31.05" customHeight="1" x14ac:dyDescent="0.3">
      <c r="A10" s="48" t="s">
        <v>12</v>
      </c>
      <c r="B10" s="48"/>
      <c r="C10" s="49" t="str">
        <f>Проверки!$B$3</f>
        <v>ГОТОВ К ЗАПОЛНЕНИЮ</v>
      </c>
      <c r="D10" s="49"/>
      <c r="E10" s="49"/>
      <c r="F10" s="27"/>
      <c r="G10" s="48" t="s">
        <v>13</v>
      </c>
      <c r="H10" s="48"/>
      <c r="I10" s="54">
        <f>I9*(1+Ввод!$B$7)</f>
        <v>0</v>
      </c>
      <c r="J10" s="54"/>
      <c r="K10" s="54"/>
    </row>
    <row r="11" spans="1:11" ht="28.05" customHeight="1" x14ac:dyDescent="0.3">
      <c r="A11" s="27"/>
      <c r="B11" s="27"/>
      <c r="C11" s="27"/>
      <c r="D11" s="27"/>
      <c r="E11" s="27"/>
      <c r="F11" s="27"/>
      <c r="G11" s="45" t="s">
        <v>14</v>
      </c>
      <c r="H11" s="45"/>
      <c r="I11" s="45"/>
      <c r="J11" s="45"/>
      <c r="K11" s="45"/>
    </row>
    <row r="12" spans="1:11" ht="9" customHeight="1" x14ac:dyDescent="0.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 ht="25.05" customHeight="1" x14ac:dyDescent="0.3">
      <c r="A13" s="46" t="s">
        <v>15</v>
      </c>
      <c r="B13" s="46"/>
      <c r="C13" s="46"/>
      <c r="D13" s="46"/>
      <c r="E13" s="46"/>
      <c r="F13" s="46"/>
      <c r="H13" s="46" t="s">
        <v>16</v>
      </c>
      <c r="I13" s="46"/>
      <c r="J13" s="46"/>
      <c r="K13" s="46"/>
    </row>
    <row r="14" spans="1:11" ht="36" customHeight="1" x14ac:dyDescent="0.3">
      <c r="A14" s="29" t="s">
        <v>17</v>
      </c>
      <c r="B14" s="29" t="s">
        <v>18</v>
      </c>
      <c r="C14" s="29" t="s">
        <v>19</v>
      </c>
      <c r="D14" s="29" t="s">
        <v>20</v>
      </c>
      <c r="E14" s="29" t="s">
        <v>21</v>
      </c>
      <c r="F14" s="29" t="s">
        <v>22</v>
      </c>
      <c r="H14" s="47" t="s">
        <v>23</v>
      </c>
      <c r="I14" s="47"/>
      <c r="J14" s="47" t="s">
        <v>24</v>
      </c>
      <c r="K14" s="47"/>
    </row>
    <row r="15" spans="1:11" ht="43.95" customHeight="1" x14ac:dyDescent="0.3">
      <c r="A15" s="31" t="str">
        <f>IF(B15="","",ROWS($A$15:A15))</f>
        <v/>
      </c>
      <c r="B15" s="30" t="str">
        <f>IFERROR(INDEX(Расчёт!$B$6:$B$55,MATCH(ROWS($B$15:B15),Расчёт!$A$6:$A$55,0)),"")</f>
        <v/>
      </c>
      <c r="C15" s="32" t="str">
        <f>IF(B15="","",SUMIF(Расчёт!$A$6:$A$55,A15,Расчёт!$Q$6:$Q$55))</f>
        <v/>
      </c>
      <c r="D15" s="33" t="str">
        <f>IF(B15="","",SUMIF(Расчёт!$A$6:$A$55,A15,Расчёт!$R$6:$R$55))</f>
        <v/>
      </c>
      <c r="E15" s="32" t="str">
        <f>IF(B15="","",SUMIF(Расчёт!$A$6:$A$55,A15,Расчёт!$T$6:$T$55))</f>
        <v/>
      </c>
      <c r="F15" s="30"/>
      <c r="H15" s="44" t="str">
        <f>IF(Ввод!$B$32="","",Ввод!$B$32)</f>
        <v/>
      </c>
      <c r="I15" s="44"/>
      <c r="J15" s="44" t="str">
        <f>IF(Ввод!$D$32="","",Ввод!$D$32)</f>
        <v/>
      </c>
      <c r="K15" s="44"/>
    </row>
    <row r="16" spans="1:11" ht="43.95" customHeight="1" x14ac:dyDescent="0.3">
      <c r="A16" s="31" t="str">
        <f>IF(B16="","",ROWS($A$15:A16))</f>
        <v/>
      </c>
      <c r="B16" s="30" t="str">
        <f>IFERROR(INDEX(Расчёт!$B$6:$B$55,MATCH(ROWS($B$15:B16),Расчёт!$A$6:$A$55,0)),"")</f>
        <v/>
      </c>
      <c r="C16" s="32" t="str">
        <f>IF(B16="","",SUMIF(Расчёт!$A$6:$A$55,A16,Расчёт!$Q$6:$Q$55))</f>
        <v/>
      </c>
      <c r="D16" s="33" t="str">
        <f>IF(B16="","",SUMIF(Расчёт!$A$6:$A$55,A16,Расчёт!$R$6:$R$55))</f>
        <v/>
      </c>
      <c r="E16" s="32" t="str">
        <f>IF(B16="","",SUMIF(Расчёт!$A$6:$A$55,A16,Расчёт!$T$6:$T$55))</f>
        <v/>
      </c>
      <c r="F16" s="30"/>
      <c r="H16" s="44" t="str">
        <f>IF(Ввод!$B$32="","",Ввод!$B$32)</f>
        <v/>
      </c>
      <c r="I16" s="44"/>
      <c r="J16" s="44" t="str">
        <f>IF(Ввод!$D$32="","",Ввод!$D$32)</f>
        <v/>
      </c>
      <c r="K16" s="44"/>
    </row>
    <row r="17" spans="1:11" ht="43.95" customHeight="1" x14ac:dyDescent="0.3">
      <c r="A17" s="31" t="str">
        <f>IF(B17="","",ROWS($A$15:A17))</f>
        <v/>
      </c>
      <c r="B17" s="30" t="str">
        <f>IFERROR(INDEX(Расчёт!$B$6:$B$55,MATCH(ROWS($B$15:B17),Расчёт!$A$6:$A$55,0)),"")</f>
        <v/>
      </c>
      <c r="C17" s="32" t="str">
        <f>IF(B17="","",SUMIF(Расчёт!$A$6:$A$55,A17,Расчёт!$Q$6:$Q$55))</f>
        <v/>
      </c>
      <c r="D17" s="33" t="str">
        <f>IF(B17="","",SUMIF(Расчёт!$A$6:$A$55,A17,Расчёт!$R$6:$R$55))</f>
        <v/>
      </c>
      <c r="E17" s="32" t="str">
        <f>IF(B17="","",SUMIF(Расчёт!$A$6:$A$55,A17,Расчёт!$T$6:$T$55))</f>
        <v/>
      </c>
      <c r="F17" s="30"/>
      <c r="H17" s="44" t="str">
        <f>IF(Ввод!$B$32="","",Ввод!$B$32)</f>
        <v/>
      </c>
      <c r="I17" s="44"/>
      <c r="J17" s="44" t="str">
        <f>IF(Ввод!$D$32="","",Ввод!$D$32)</f>
        <v/>
      </c>
      <c r="K17" s="44"/>
    </row>
    <row r="18" spans="1:11" ht="43.95" customHeight="1" x14ac:dyDescent="0.3">
      <c r="A18" s="31" t="str">
        <f>IF(B18="","",ROWS($A$15:A18))</f>
        <v/>
      </c>
      <c r="B18" s="30" t="str">
        <f>IFERROR(INDEX(Расчёт!$B$6:$B$55,MATCH(ROWS($B$15:B18),Расчёт!$A$6:$A$55,0)),"")</f>
        <v/>
      </c>
      <c r="C18" s="32" t="str">
        <f>IF(B18="","",SUMIF(Расчёт!$A$6:$A$55,A18,Расчёт!$Q$6:$Q$55))</f>
        <v/>
      </c>
      <c r="D18" s="33" t="str">
        <f>IF(B18="","",SUMIF(Расчёт!$A$6:$A$55,A18,Расчёт!$R$6:$R$55))</f>
        <v/>
      </c>
      <c r="E18" s="32" t="str">
        <f>IF(B18="","",SUMIF(Расчёт!$A$6:$A$55,A18,Расчёт!$T$6:$T$55))</f>
        <v/>
      </c>
      <c r="F18" s="30"/>
      <c r="H18" s="44" t="str">
        <f>IF(Ввод!$B$32="","",Ввод!$B$32)</f>
        <v/>
      </c>
      <c r="I18" s="44"/>
      <c r="J18" s="44" t="str">
        <f>IF(Ввод!$D$32="","",Ввод!$D$32)</f>
        <v/>
      </c>
      <c r="K18" s="44"/>
    </row>
    <row r="19" spans="1:11" ht="43.95" customHeight="1" x14ac:dyDescent="0.3">
      <c r="A19" s="31" t="str">
        <f>IF(B19="","",ROWS($A$15:A19))</f>
        <v/>
      </c>
      <c r="B19" s="30" t="str">
        <f>IFERROR(INDEX(Расчёт!$B$6:$B$55,MATCH(ROWS($B$15:B19),Расчёт!$A$6:$A$55,0)),"")</f>
        <v/>
      </c>
      <c r="C19" s="32" t="str">
        <f>IF(B19="","",SUMIF(Расчёт!$A$6:$A$55,A19,Расчёт!$Q$6:$Q$55))</f>
        <v/>
      </c>
      <c r="D19" s="33" t="str">
        <f>IF(B19="","",SUMIF(Расчёт!$A$6:$A$55,A19,Расчёт!$R$6:$R$55))</f>
        <v/>
      </c>
      <c r="E19" s="32" t="str">
        <f>IF(B19="","",SUMIF(Расчёт!$A$6:$A$55,A19,Расчёт!$T$6:$T$55))</f>
        <v/>
      </c>
      <c r="F19" s="30"/>
      <c r="H19" s="44" t="str">
        <f>IF(Ввод!$B$32="","",Ввод!$B$32)</f>
        <v/>
      </c>
      <c r="I19" s="44"/>
      <c r="J19" s="44" t="str">
        <f>IF(Ввод!$D$32="","",Ввод!$D$32)</f>
        <v/>
      </c>
      <c r="K19" s="44"/>
    </row>
    <row r="20" spans="1:11" ht="43.95" customHeight="1" x14ac:dyDescent="0.3">
      <c r="A20" s="31" t="str">
        <f>IF(B20="","",ROWS($A$15:A20))</f>
        <v/>
      </c>
      <c r="B20" s="30" t="str">
        <f>IFERROR(INDEX(Расчёт!$B$6:$B$55,MATCH(ROWS($B$15:B20),Расчёт!$A$6:$A$55,0)),"")</f>
        <v/>
      </c>
      <c r="C20" s="32" t="str">
        <f>IF(B20="","",SUMIF(Расчёт!$A$6:$A$55,A20,Расчёт!$Q$6:$Q$55))</f>
        <v/>
      </c>
      <c r="D20" s="33" t="str">
        <f>IF(B20="","",SUMIF(Расчёт!$A$6:$A$55,A20,Расчёт!$R$6:$R$55))</f>
        <v/>
      </c>
      <c r="E20" s="32" t="str">
        <f>IF(B20="","",SUMIF(Расчёт!$A$6:$A$55,A20,Расчёт!$T$6:$T$55))</f>
        <v/>
      </c>
      <c r="F20" s="30"/>
      <c r="H20" s="44" t="str">
        <f>IF(Ввод!$B$32="","",Ввод!$B$32)</f>
        <v/>
      </c>
      <c r="I20" s="44"/>
      <c r="J20" s="44" t="str">
        <f>IF(Ввод!$D$32="","",Ввод!$D$32)</f>
        <v/>
      </c>
      <c r="K20" s="44"/>
    </row>
    <row r="21" spans="1:11" ht="43.95" customHeight="1" x14ac:dyDescent="0.3">
      <c r="A21" s="31" t="str">
        <f>IF(B21="","",ROWS($A$15:A21))</f>
        <v/>
      </c>
      <c r="B21" s="30" t="str">
        <f>IFERROR(INDEX(Расчёт!$B$6:$B$55,MATCH(ROWS($B$15:B21),Расчёт!$A$6:$A$55,0)),"")</f>
        <v/>
      </c>
      <c r="C21" s="32" t="str">
        <f>IF(B21="","",SUMIF(Расчёт!$A$6:$A$55,A21,Расчёт!$Q$6:$Q$55))</f>
        <v/>
      </c>
      <c r="D21" s="33" t="str">
        <f>IF(B21="","",SUMIF(Расчёт!$A$6:$A$55,A21,Расчёт!$R$6:$R$55))</f>
        <v/>
      </c>
      <c r="E21" s="32" t="str">
        <f>IF(B21="","",SUMIF(Расчёт!$A$6:$A$55,A21,Расчёт!$T$6:$T$55))</f>
        <v/>
      </c>
      <c r="F21" s="30"/>
      <c r="H21" s="44" t="str">
        <f>IF(Ввод!$B$32="","",Ввод!$B$32)</f>
        <v/>
      </c>
      <c r="I21" s="44"/>
      <c r="J21" s="44" t="str">
        <f>IF(Ввод!$D$32="","",Ввод!$D$32)</f>
        <v/>
      </c>
      <c r="K21" s="44"/>
    </row>
    <row r="22" spans="1:11" ht="43.95" customHeight="1" x14ac:dyDescent="0.3">
      <c r="A22" s="31" t="str">
        <f>IF(B22="","",ROWS($A$15:A22))</f>
        <v/>
      </c>
      <c r="B22" s="30" t="str">
        <f>IFERROR(INDEX(Расчёт!$B$6:$B$55,MATCH(ROWS($B$15:B22),Расчёт!$A$6:$A$55,0)),"")</f>
        <v/>
      </c>
      <c r="C22" s="32" t="str">
        <f>IF(B22="","",SUMIF(Расчёт!$A$6:$A$55,A22,Расчёт!$Q$6:$Q$55))</f>
        <v/>
      </c>
      <c r="D22" s="33" t="str">
        <f>IF(B22="","",SUMIF(Расчёт!$A$6:$A$55,A22,Расчёт!$R$6:$R$55))</f>
        <v/>
      </c>
      <c r="E22" s="32" t="str">
        <f>IF(B22="","",SUMIF(Расчёт!$A$6:$A$55,A22,Расчёт!$T$6:$T$55))</f>
        <v/>
      </c>
      <c r="F22" s="30"/>
      <c r="H22" s="44" t="str">
        <f>IF(Ввод!$B$32="","",Ввод!$B$32)</f>
        <v/>
      </c>
      <c r="I22" s="44"/>
      <c r="J22" s="44" t="str">
        <f>IF(Ввод!$D$32="","",Ввод!$D$32)</f>
        <v/>
      </c>
      <c r="K22" s="44"/>
    </row>
    <row r="23" spans="1:11" ht="24" customHeight="1" x14ac:dyDescent="0.3"/>
    <row r="24" spans="1:11" ht="24" customHeight="1" x14ac:dyDescent="0.3"/>
    <row r="25" spans="1:11" ht="24" customHeight="1" x14ac:dyDescent="0.3"/>
    <row r="26" spans="1:11" ht="24" customHeight="1" x14ac:dyDescent="0.3"/>
    <row r="27" spans="1:11" ht="24" customHeight="1" x14ac:dyDescent="0.3"/>
    <row r="28" spans="1:11" ht="24" customHeight="1" x14ac:dyDescent="0.3"/>
    <row r="29" spans="1:11" ht="24" customHeight="1" x14ac:dyDescent="0.3"/>
    <row r="30" spans="1:11" ht="24" customHeight="1" x14ac:dyDescent="0.3"/>
    <row r="31" spans="1:11" ht="24" customHeight="1" x14ac:dyDescent="0.3"/>
    <row r="32" spans="1:11" ht="24" customHeight="1" x14ac:dyDescent="0.3"/>
    <row r="33" ht="24" customHeight="1" x14ac:dyDescent="0.3"/>
    <row r="34" ht="24" customHeight="1" x14ac:dyDescent="0.3"/>
    <row r="50" ht="22.5" customHeight="1" x14ac:dyDescent="0.3"/>
  </sheetData>
  <mergeCells count="45">
    <mergeCell ref="C8:E8"/>
    <mergeCell ref="A9:B9"/>
    <mergeCell ref="C9:E9"/>
    <mergeCell ref="A1:K2"/>
    <mergeCell ref="A3:K3"/>
    <mergeCell ref="A5:E5"/>
    <mergeCell ref="A6:B6"/>
    <mergeCell ref="C6:E6"/>
    <mergeCell ref="A10:B10"/>
    <mergeCell ref="C10:E10"/>
    <mergeCell ref="G5:K5"/>
    <mergeCell ref="G6:H6"/>
    <mergeCell ref="I6:K6"/>
    <mergeCell ref="G7:H7"/>
    <mergeCell ref="I7:K7"/>
    <mergeCell ref="G8:H8"/>
    <mergeCell ref="J8:K8"/>
    <mergeCell ref="G9:H9"/>
    <mergeCell ref="I9:K9"/>
    <mergeCell ref="G10:H10"/>
    <mergeCell ref="I10:K10"/>
    <mergeCell ref="A7:B7"/>
    <mergeCell ref="C7:E7"/>
    <mergeCell ref="A8:B8"/>
    <mergeCell ref="G11:K11"/>
    <mergeCell ref="A13:F13"/>
    <mergeCell ref="H13:K13"/>
    <mergeCell ref="H14:I14"/>
    <mergeCell ref="J14:K14"/>
    <mergeCell ref="H15:I15"/>
    <mergeCell ref="J15:K15"/>
    <mergeCell ref="H16:I16"/>
    <mergeCell ref="J16:K16"/>
    <mergeCell ref="H17:I17"/>
    <mergeCell ref="J17:K17"/>
    <mergeCell ref="H21:I21"/>
    <mergeCell ref="J21:K21"/>
    <mergeCell ref="H22:I22"/>
    <mergeCell ref="J22:K22"/>
    <mergeCell ref="H18:I18"/>
    <mergeCell ref="J18:K18"/>
    <mergeCell ref="H19:I19"/>
    <mergeCell ref="J19:K19"/>
    <mergeCell ref="H20:I20"/>
    <mergeCell ref="J20:K20"/>
  </mergeCells>
  <conditionalFormatting sqref="C10:E10">
    <cfRule type="containsText" dxfId="5" priority="2" operator="containsText" text="PASS">
      <formula>NOT(ISERROR(SEARCH("PASS",C10)))</formula>
    </cfRule>
    <cfRule type="containsText" dxfId="4" priority="3" operator="containsText" text="FAIL">
      <formula>NOT(ISERROR(SEARCH("FAIL",C10)))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showGridLines="0" workbookViewId="0">
      <selection activeCell="G5" sqref="G5"/>
    </sheetView>
  </sheetViews>
  <sheetFormatPr defaultColWidth="8.5546875" defaultRowHeight="14.4" x14ac:dyDescent="0.3"/>
  <cols>
    <col min="1" max="1" width="27" customWidth="1"/>
    <col min="2" max="2" width="24" customWidth="1"/>
    <col min="3" max="3" width="16" customWidth="1"/>
    <col min="4" max="5" width="18" customWidth="1"/>
    <col min="6" max="6" width="42" customWidth="1"/>
    <col min="7" max="7" width="19" customWidth="1"/>
    <col min="8" max="8" width="48" customWidth="1"/>
  </cols>
  <sheetData>
    <row r="1" spans="1:8" ht="25.95" customHeight="1" x14ac:dyDescent="0.3">
      <c r="A1" s="63" t="s">
        <v>25</v>
      </c>
      <c r="B1" s="63"/>
      <c r="C1" s="63"/>
      <c r="D1" s="63"/>
      <c r="E1" s="63"/>
      <c r="F1" s="63"/>
    </row>
    <row r="2" spans="1:8" ht="25.95" customHeight="1" x14ac:dyDescent="0.3">
      <c r="A2" s="64"/>
      <c r="B2" s="64"/>
      <c r="C2" s="64"/>
      <c r="D2" s="64"/>
      <c r="E2" s="64"/>
      <c r="F2" s="64"/>
    </row>
    <row r="3" spans="1:8" ht="24" customHeight="1" x14ac:dyDescent="0.3">
      <c r="A3" s="57" t="s">
        <v>26</v>
      </c>
      <c r="B3" s="57"/>
      <c r="C3" s="57"/>
      <c r="D3" s="57"/>
      <c r="E3" s="57"/>
      <c r="F3" s="57"/>
    </row>
    <row r="4" spans="1:8" ht="27" customHeight="1" x14ac:dyDescent="0.3">
      <c r="A4" s="35" t="s">
        <v>27</v>
      </c>
      <c r="B4" s="58"/>
      <c r="C4" s="58"/>
      <c r="D4" s="59" t="s">
        <v>28</v>
      </c>
      <c r="E4" s="59"/>
      <c r="F4" s="59"/>
      <c r="G4" s="26"/>
      <c r="H4" s="26"/>
    </row>
    <row r="5" spans="1:8" ht="27" customHeight="1" x14ac:dyDescent="0.3">
      <c r="A5" s="35" t="s">
        <v>6</v>
      </c>
      <c r="B5" s="58"/>
      <c r="C5" s="58"/>
      <c r="D5" s="59" t="s">
        <v>29</v>
      </c>
      <c r="E5" s="59"/>
      <c r="F5" s="59"/>
      <c r="G5" s="26"/>
      <c r="H5" s="26"/>
    </row>
    <row r="6" spans="1:8" ht="27" customHeight="1" x14ac:dyDescent="0.3">
      <c r="A6" s="35" t="s">
        <v>8</v>
      </c>
      <c r="B6" s="61"/>
      <c r="C6" s="61"/>
      <c r="D6" s="59" t="s">
        <v>30</v>
      </c>
      <c r="E6" s="59"/>
      <c r="F6" s="59"/>
      <c r="G6" s="26"/>
      <c r="H6" s="26"/>
    </row>
    <row r="7" spans="1:8" ht="27" customHeight="1" x14ac:dyDescent="0.3">
      <c r="A7" s="35" t="s">
        <v>31</v>
      </c>
      <c r="B7" s="62">
        <v>0.22</v>
      </c>
      <c r="C7" s="62"/>
      <c r="D7" s="59" t="s">
        <v>32</v>
      </c>
      <c r="E7" s="59"/>
      <c r="F7" s="59"/>
      <c r="G7" s="26"/>
      <c r="H7" s="26"/>
    </row>
    <row r="8" spans="1:8" ht="27" customHeight="1" x14ac:dyDescent="0.3">
      <c r="A8" s="35" t="s">
        <v>9</v>
      </c>
      <c r="B8" s="62">
        <v>0</v>
      </c>
      <c r="C8" s="62"/>
      <c r="D8" s="59" t="s">
        <v>33</v>
      </c>
      <c r="E8" s="59"/>
      <c r="F8" s="59"/>
      <c r="G8" s="26"/>
      <c r="H8" s="26"/>
    </row>
    <row r="9" spans="1:8" ht="27" customHeight="1" x14ac:dyDescent="0.3">
      <c r="A9" s="35" t="s">
        <v>34</v>
      </c>
      <c r="B9" s="58">
        <v>8</v>
      </c>
      <c r="C9" s="58"/>
      <c r="D9" s="59" t="s">
        <v>35</v>
      </c>
      <c r="E9" s="59"/>
      <c r="F9" s="59"/>
      <c r="G9" s="26"/>
      <c r="H9" s="26"/>
    </row>
    <row r="10" spans="1:8" ht="27" customHeight="1" x14ac:dyDescent="0.3">
      <c r="A10" s="35" t="s">
        <v>36</v>
      </c>
      <c r="B10" s="58" t="s">
        <v>402</v>
      </c>
      <c r="C10" s="58"/>
      <c r="D10" s="59" t="s">
        <v>38</v>
      </c>
      <c r="E10" s="59"/>
      <c r="F10" s="59"/>
      <c r="G10" s="26"/>
      <c r="H10" s="26"/>
    </row>
    <row r="11" spans="1:8" ht="52.05" customHeight="1" x14ac:dyDescent="0.3">
      <c r="A11" s="35" t="s">
        <v>39</v>
      </c>
      <c r="B11" s="60"/>
      <c r="C11" s="60"/>
      <c r="D11" s="60"/>
      <c r="E11" s="60"/>
      <c r="F11" s="60"/>
      <c r="G11" s="26"/>
      <c r="H11" s="26"/>
    </row>
    <row r="12" spans="1:8" ht="7.05" customHeight="1" x14ac:dyDescent="0.3">
      <c r="A12" s="34"/>
      <c r="B12" s="34"/>
      <c r="C12" s="34"/>
      <c r="D12" s="34"/>
      <c r="E12" s="34"/>
      <c r="F12" s="34"/>
      <c r="G12" s="26"/>
      <c r="H12" s="26"/>
    </row>
    <row r="13" spans="1:8" ht="24" customHeight="1" x14ac:dyDescent="0.3">
      <c r="A13" s="56" t="s">
        <v>40</v>
      </c>
      <c r="B13" s="56"/>
      <c r="C13" s="56"/>
      <c r="D13" s="56"/>
      <c r="E13" s="56"/>
      <c r="F13" s="56"/>
    </row>
    <row r="14" spans="1:8" ht="1.05" customHeight="1" x14ac:dyDescent="0.3">
      <c r="A14" s="34"/>
      <c r="B14" s="34"/>
      <c r="C14" s="34"/>
      <c r="D14" s="34"/>
      <c r="E14" s="34"/>
      <c r="F14" s="34"/>
    </row>
    <row r="15" spans="1:8" ht="1.05" customHeight="1" x14ac:dyDescent="0.3">
      <c r="A15" s="34"/>
      <c r="B15" s="34"/>
      <c r="C15" s="34"/>
      <c r="D15" s="34"/>
      <c r="E15" s="34"/>
      <c r="F15" s="34"/>
    </row>
    <row r="16" spans="1:8" ht="1.05" customHeight="1" x14ac:dyDescent="0.3">
      <c r="A16" s="34"/>
      <c r="B16" s="34"/>
      <c r="C16" s="34"/>
      <c r="D16" s="34"/>
      <c r="E16" s="34"/>
      <c r="F16" s="34"/>
    </row>
    <row r="17" spans="1:6" ht="1.05" customHeight="1" x14ac:dyDescent="0.3">
      <c r="A17" s="34"/>
      <c r="B17" s="34"/>
      <c r="C17" s="34"/>
      <c r="D17" s="34"/>
      <c r="E17" s="34"/>
      <c r="F17" s="34"/>
    </row>
    <row r="18" spans="1:6" ht="28.05" customHeight="1" x14ac:dyDescent="0.3">
      <c r="A18" s="57" t="s">
        <v>41</v>
      </c>
      <c r="B18" s="57"/>
      <c r="C18" s="57"/>
      <c r="D18" s="57"/>
      <c r="E18" s="57"/>
      <c r="F18" s="57"/>
    </row>
    <row r="19" spans="1:6" ht="28.05" customHeight="1" x14ac:dyDescent="0.3">
      <c r="A19" s="37" t="s">
        <v>42</v>
      </c>
      <c r="B19" s="37" t="s">
        <v>43</v>
      </c>
      <c r="C19" s="37" t="s">
        <v>44</v>
      </c>
      <c r="D19" s="37" t="s">
        <v>45</v>
      </c>
      <c r="E19" s="37" t="s">
        <v>46</v>
      </c>
      <c r="F19" s="37" t="s">
        <v>47</v>
      </c>
    </row>
    <row r="20" spans="1:6" ht="24" customHeight="1" x14ac:dyDescent="0.3">
      <c r="A20" s="38" t="str">
        <f>IFERROR(INDEX('Технические данные'!$B$12:$B$19,MATCH(ROWS($A$20:A20),'Технические данные'!$H$12:$H$19,0)),"")</f>
        <v/>
      </c>
      <c r="B20" s="38" t="str">
        <f>IFERROR(INDEX('Технические данные'!$C$12:$C$19,MATCH(ROWS($A$20:A20),'Технические данные'!$H$12:$H$19,0)),"")</f>
        <v/>
      </c>
      <c r="C20" s="41" t="str">
        <f>IFERROR(INDEX('Технические данные'!$D$12:$D$19,MATCH(ROWS($A$20:A20),'Технические данные'!$H$12:$H$19,0)),"")</f>
        <v/>
      </c>
      <c r="D20" s="42"/>
      <c r="E20" s="43" t="str">
        <f t="shared" ref="E20:E27" si="0">IF(A20="","",IF(D20&lt;&gt;"",D20,C20))</f>
        <v/>
      </c>
      <c r="F20" s="39" t="str">
        <f>IFERROR(INDEX('Технические данные'!$G$12:$G$19,MATCH(ROWS($A$20:A20),'Технические данные'!$H$12:$H$19,0)),"")</f>
        <v/>
      </c>
    </row>
    <row r="21" spans="1:6" ht="24" customHeight="1" x14ac:dyDescent="0.3">
      <c r="A21" s="38" t="str">
        <f>IFERROR(INDEX('Технические данные'!$B$12:$B$19,MATCH(ROWS($A$20:A21),'Технические данные'!$H$12:$H$19,0)),"")</f>
        <v/>
      </c>
      <c r="B21" s="38" t="str">
        <f>IFERROR(INDEX('Технические данные'!$C$12:$C$19,MATCH(ROWS($A$20:A21),'Технические данные'!$H$12:$H$19,0)),"")</f>
        <v/>
      </c>
      <c r="C21" s="41" t="str">
        <f>IFERROR(INDEX('Технические данные'!$D$12:$D$19,MATCH(ROWS($A$20:A21),'Технические данные'!$H$12:$H$19,0)),"")</f>
        <v/>
      </c>
      <c r="D21" s="42"/>
      <c r="E21" s="43" t="str">
        <f t="shared" si="0"/>
        <v/>
      </c>
      <c r="F21" s="39" t="str">
        <f>IFERROR(INDEX('Технические данные'!$G$12:$G$19,MATCH(ROWS($A$20:A21),'Технические данные'!$H$12:$H$19,0)),"")</f>
        <v/>
      </c>
    </row>
    <row r="22" spans="1:6" ht="24" customHeight="1" x14ac:dyDescent="0.3">
      <c r="A22" s="38" t="str">
        <f>IFERROR(INDEX('Технические данные'!$B$12:$B$19,MATCH(ROWS($A$20:A22),'Технические данные'!$H$12:$H$19,0)),"")</f>
        <v/>
      </c>
      <c r="B22" s="38" t="str">
        <f>IFERROR(INDEX('Технические данные'!$C$12:$C$19,MATCH(ROWS($A$20:A22),'Технические данные'!$H$12:$H$19,0)),"")</f>
        <v/>
      </c>
      <c r="C22" s="41" t="str">
        <f>IFERROR(INDEX('Технические данные'!$D$12:$D$19,MATCH(ROWS($A$20:A22),'Технические данные'!$H$12:$H$19,0)),"")</f>
        <v/>
      </c>
      <c r="D22" s="42"/>
      <c r="E22" s="43" t="str">
        <f t="shared" si="0"/>
        <v/>
      </c>
      <c r="F22" s="39" t="str">
        <f>IFERROR(INDEX('Технические данные'!$G$12:$G$19,MATCH(ROWS($A$20:A22),'Технические данные'!$H$12:$H$19,0)),"")</f>
        <v/>
      </c>
    </row>
    <row r="23" spans="1:6" ht="24" customHeight="1" x14ac:dyDescent="0.3">
      <c r="A23" s="38" t="str">
        <f>IFERROR(INDEX('Технические данные'!$B$12:$B$19,MATCH(ROWS($A$20:A23),'Технические данные'!$H$12:$H$19,0)),"")</f>
        <v/>
      </c>
      <c r="B23" s="38" t="str">
        <f>IFERROR(INDEX('Технические данные'!$C$12:$C$19,MATCH(ROWS($A$20:A23),'Технические данные'!$H$12:$H$19,0)),"")</f>
        <v/>
      </c>
      <c r="C23" s="41" t="str">
        <f>IFERROR(INDEX('Технические данные'!$D$12:$D$19,MATCH(ROWS($A$20:A23),'Технические данные'!$H$12:$H$19,0)),"")</f>
        <v/>
      </c>
      <c r="D23" s="42"/>
      <c r="E23" s="43" t="str">
        <f t="shared" si="0"/>
        <v/>
      </c>
      <c r="F23" s="39" t="str">
        <f>IFERROR(INDEX('Технические данные'!$G$12:$G$19,MATCH(ROWS($A$20:A23),'Технические данные'!$H$12:$H$19,0)),"")</f>
        <v/>
      </c>
    </row>
    <row r="24" spans="1:6" ht="24" customHeight="1" x14ac:dyDescent="0.3">
      <c r="A24" s="38" t="str">
        <f>IFERROR(INDEX('Технические данные'!$B$12:$B$19,MATCH(ROWS($A$20:A24),'Технические данные'!$H$12:$H$19,0)),"")</f>
        <v/>
      </c>
      <c r="B24" s="38" t="str">
        <f>IFERROR(INDEX('Технические данные'!$C$12:$C$19,MATCH(ROWS($A$20:A24),'Технические данные'!$H$12:$H$19,0)),"")</f>
        <v/>
      </c>
      <c r="C24" s="41" t="str">
        <f>IFERROR(INDEX('Технические данные'!$D$12:$D$19,MATCH(ROWS($A$20:A24),'Технические данные'!$H$12:$H$19,0)),"")</f>
        <v/>
      </c>
      <c r="D24" s="42"/>
      <c r="E24" s="43" t="str">
        <f t="shared" si="0"/>
        <v/>
      </c>
      <c r="F24" s="39" t="str">
        <f>IFERROR(INDEX('Технические данные'!$G$12:$G$19,MATCH(ROWS($A$20:A24),'Технические данные'!$H$12:$H$19,0)),"")</f>
        <v/>
      </c>
    </row>
    <row r="25" spans="1:6" ht="24" customHeight="1" x14ac:dyDescent="0.3">
      <c r="A25" s="38" t="str">
        <f>IFERROR(INDEX('Технические данные'!$B$12:$B$19,MATCH(ROWS($A$20:A25),'Технические данные'!$H$12:$H$19,0)),"")</f>
        <v/>
      </c>
      <c r="B25" s="38" t="str">
        <f>IFERROR(INDEX('Технические данные'!$C$12:$C$19,MATCH(ROWS($A$20:A25),'Технические данные'!$H$12:$H$19,0)),"")</f>
        <v/>
      </c>
      <c r="C25" s="41" t="str">
        <f>IFERROR(INDEX('Технические данные'!$D$12:$D$19,MATCH(ROWS($A$20:A25),'Технические данные'!$H$12:$H$19,0)),"")</f>
        <v/>
      </c>
      <c r="D25" s="42"/>
      <c r="E25" s="43" t="str">
        <f t="shared" si="0"/>
        <v/>
      </c>
      <c r="F25" s="39" t="str">
        <f>IFERROR(INDEX('Технические данные'!$G$12:$G$19,MATCH(ROWS($A$20:A25),'Технические данные'!$H$12:$H$19,0)),"")</f>
        <v/>
      </c>
    </row>
    <row r="26" spans="1:6" ht="24" customHeight="1" x14ac:dyDescent="0.3">
      <c r="A26" s="38" t="str">
        <f>IFERROR(INDEX('Технические данные'!$B$12:$B$19,MATCH(ROWS($A$20:A26),'Технические данные'!$H$12:$H$19,0)),"")</f>
        <v/>
      </c>
      <c r="B26" s="38" t="str">
        <f>IFERROR(INDEX('Технические данные'!$C$12:$C$19,MATCH(ROWS($A$20:A26),'Технические данные'!$H$12:$H$19,0)),"")</f>
        <v/>
      </c>
      <c r="C26" s="41" t="str">
        <f>IFERROR(INDEX('Технические данные'!$D$12:$D$19,MATCH(ROWS($A$20:A26),'Технические данные'!$H$12:$H$19,0)),"")</f>
        <v/>
      </c>
      <c r="D26" s="42"/>
      <c r="E26" s="43" t="str">
        <f t="shared" si="0"/>
        <v/>
      </c>
      <c r="F26" s="39" t="str">
        <f>IFERROR(INDEX('Технические данные'!$G$12:$G$19,MATCH(ROWS($A$20:A26),'Технические данные'!$H$12:$H$19,0)),"")</f>
        <v/>
      </c>
    </row>
    <row r="27" spans="1:6" ht="24" customHeight="1" x14ac:dyDescent="0.3">
      <c r="A27" s="38" t="str">
        <f>IFERROR(INDEX('Технические данные'!$B$12:$B$19,MATCH(ROWS($A$20:A27),'Технические данные'!$H$12:$H$19,0)),"")</f>
        <v/>
      </c>
      <c r="B27" s="38" t="str">
        <f>IFERROR(INDEX('Технические данные'!$C$12:$C$19,MATCH(ROWS($A$20:A27),'Технические данные'!$H$12:$H$19,0)),"")</f>
        <v/>
      </c>
      <c r="C27" s="41" t="str">
        <f>IFERROR(INDEX('Технические данные'!$D$12:$D$19,MATCH(ROWS($A$20:A27),'Технические данные'!$H$12:$H$19,0)),"")</f>
        <v/>
      </c>
      <c r="D27" s="42"/>
      <c r="E27" s="43" t="str">
        <f t="shared" si="0"/>
        <v/>
      </c>
      <c r="F27" s="39" t="str">
        <f>IFERROR(INDEX('Технические данные'!$G$12:$G$19,MATCH(ROWS($A$20:A27),'Технические данные'!$H$12:$H$19,0)),"")</f>
        <v/>
      </c>
    </row>
    <row r="28" spans="1:6" ht="1.05" customHeight="1" x14ac:dyDescent="0.3">
      <c r="A28" s="34"/>
      <c r="B28" s="34"/>
      <c r="C28" s="34"/>
      <c r="D28" s="34"/>
      <c r="E28" s="34"/>
      <c r="F28" s="34"/>
    </row>
    <row r="29" spans="1:6" ht="1.05" customHeight="1" x14ac:dyDescent="0.3">
      <c r="A29" s="34"/>
      <c r="B29" s="34"/>
      <c r="C29" s="34"/>
      <c r="D29" s="34"/>
      <c r="E29" s="34"/>
      <c r="F29" s="34"/>
    </row>
    <row r="30" spans="1:6" ht="28.05" customHeight="1" x14ac:dyDescent="0.3">
      <c r="A30" s="57" t="s">
        <v>48</v>
      </c>
      <c r="B30" s="57"/>
      <c r="C30" s="57"/>
      <c r="D30" s="57"/>
      <c r="E30" s="57"/>
      <c r="F30" s="57"/>
    </row>
    <row r="31" spans="1:6" ht="28.05" customHeight="1" x14ac:dyDescent="0.3">
      <c r="A31" s="37" t="s">
        <v>49</v>
      </c>
      <c r="B31" s="37" t="s">
        <v>50</v>
      </c>
      <c r="C31" s="37" t="s">
        <v>51</v>
      </c>
      <c r="D31" s="37" t="s">
        <v>24</v>
      </c>
      <c r="E31" s="34"/>
      <c r="F31" s="34"/>
    </row>
    <row r="32" spans="1:6" ht="48" customHeight="1" x14ac:dyDescent="0.3">
      <c r="A32" s="36"/>
      <c r="B32" s="36"/>
      <c r="C32" s="36"/>
      <c r="D32" s="36"/>
      <c r="E32" s="34"/>
      <c r="F32" s="34"/>
    </row>
    <row r="33" spans="1:6" ht="48" customHeight="1" x14ac:dyDescent="0.3">
      <c r="A33" s="36"/>
      <c r="B33" s="36"/>
      <c r="C33" s="36"/>
      <c r="D33" s="36"/>
      <c r="E33" s="34"/>
      <c r="F33" s="34"/>
    </row>
    <row r="34" spans="1:6" ht="48" customHeight="1" x14ac:dyDescent="0.3">
      <c r="A34" s="36"/>
      <c r="B34" s="36"/>
      <c r="C34" s="36"/>
      <c r="D34" s="36"/>
      <c r="E34" s="34"/>
      <c r="F34" s="34"/>
    </row>
    <row r="35" spans="1:6" ht="48" customHeight="1" x14ac:dyDescent="0.3">
      <c r="A35" s="36"/>
      <c r="B35" s="36"/>
      <c r="C35" s="36"/>
      <c r="D35" s="36"/>
      <c r="E35" s="34"/>
      <c r="F35" s="34"/>
    </row>
    <row r="36" spans="1:6" ht="48" customHeight="1" x14ac:dyDescent="0.3">
      <c r="A36" s="40"/>
      <c r="B36" s="40"/>
      <c r="C36" s="40"/>
      <c r="D36" s="40"/>
    </row>
    <row r="37" spans="1:6" ht="48" customHeight="1" x14ac:dyDescent="0.3">
      <c r="A37" s="40"/>
      <c r="B37" s="40"/>
      <c r="C37" s="40"/>
      <c r="D37" s="40"/>
    </row>
    <row r="38" spans="1:6" ht="48" customHeight="1" x14ac:dyDescent="0.3">
      <c r="A38" s="40"/>
      <c r="B38" s="40"/>
      <c r="C38" s="40"/>
      <c r="D38" s="40"/>
    </row>
    <row r="39" spans="1:6" ht="48" customHeight="1" x14ac:dyDescent="0.3">
      <c r="A39" s="40"/>
      <c r="B39" s="40"/>
      <c r="C39" s="40"/>
      <c r="D39" s="40"/>
    </row>
  </sheetData>
  <mergeCells count="20">
    <mergeCell ref="A1:F2"/>
    <mergeCell ref="A3:F3"/>
    <mergeCell ref="B4:C4"/>
    <mergeCell ref="D4:F4"/>
    <mergeCell ref="B5:C5"/>
    <mergeCell ref="D5:F5"/>
    <mergeCell ref="B6:C6"/>
    <mergeCell ref="D6:F6"/>
    <mergeCell ref="B7:C7"/>
    <mergeCell ref="D7:F7"/>
    <mergeCell ref="B8:C8"/>
    <mergeCell ref="D8:F8"/>
    <mergeCell ref="A13:F13"/>
    <mergeCell ref="A18:F18"/>
    <mergeCell ref="A30:F30"/>
    <mergeCell ref="B9:C9"/>
    <mergeCell ref="D9:F9"/>
    <mergeCell ref="B10:C10"/>
    <mergeCell ref="D10:F10"/>
    <mergeCell ref="B11:F11"/>
  </mergeCells>
  <dataValidations count="6">
    <dataValidation type="decimal" showInputMessage="1" showErrorMessage="1" errorTitle="Некорректное значение" error="Введите ставку НДС от 0% до 100%." promptTitle="НДС" prompt="Введите ставку НДС от 0% до 100%." sqref="B7" xr:uid="{00000000-0002-0000-0100-000000000000}">
      <formula1>0</formula1>
      <formula2>1</formula2>
    </dataValidation>
    <dataValidation type="list" allowBlank="1" showInputMessage="1" showErrorMessage="1" errorTitle="Некорректный тип" error="Выберите значение из раскрывающегося списка." promptTitle="Тип проекта" prompt="Выберите код типа проекта из справочника." sqref="B5" xr:uid="{00000000-0002-0000-0100-000001000000}">
      <formula1>INDIRECT("'Справочник типов'!$A$2:$A$27")</formula1>
    </dataValidation>
    <dataValidation type="date" allowBlank="1" showInputMessage="1" showErrorMessage="1" errorTitle="Некорректная дата" error="Введите корректную дату." promptTitle="Дата оценки" prompt="Введите дату оценки проекта." sqref="B6" xr:uid="{00000000-0002-0000-0100-000002000000}">
      <formula1>DATE(2020,1,1)</formula1>
      <formula2>DATE(2100,12,31)</formula2>
    </dataValidation>
    <dataValidation type="decimal" showInputMessage="1" showErrorMessage="1" errorTitle="Некорректное значение" error="Введите скидку от 0% до 100%." promptTitle="Скидка" prompt="Введите скидку от 0% до 100%." sqref="B8" xr:uid="{00000000-0002-0000-0100-000003000000}">
      <formula1>0</formula1>
      <formula2>1</formula2>
    </dataValidation>
    <dataValidation type="whole" showInputMessage="1" showErrorMessage="1" errorTitle="Некорректное значение" error="Допустимо целое число от 1 до 24." promptTitle="Рабочих часов в дне" prompt="Введите целое число от 1 до 24." sqref="B9" xr:uid="{00000000-0002-0000-0100-000004000000}">
      <formula1>1</formula1>
      <formula2>24</formula2>
    </dataValidation>
    <dataValidation type="list" showInputMessage="1" showErrorMessage="1" errorTitle="Некорректный режим" error="Выберите значение из раскрывающегося списка." promptTitle="Интерпретация часов ИИ" prompt="Выберите, к чему относятся указанные часы." sqref="B10" xr:uid="{00000000-0002-0000-0100-000005000000}">
      <formula1>"Авто,Всего,В месяц,На единицу,Ед. × месяц"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5"/>
  <sheetViews>
    <sheetView showGridLines="0" workbookViewId="0">
      <selection sqref="A1:V1"/>
    </sheetView>
  </sheetViews>
  <sheetFormatPr defaultColWidth="8.5546875" defaultRowHeight="14.4" x14ac:dyDescent="0.3"/>
  <cols>
    <col min="1" max="1" width="9" customWidth="1"/>
    <col min="2" max="2" width="30" customWidth="1"/>
    <col min="3" max="3" width="11" customWidth="1"/>
    <col min="4" max="4" width="48" customWidth="1"/>
    <col min="5" max="5" width="40" customWidth="1"/>
    <col min="6" max="6" width="11" customWidth="1"/>
    <col min="7" max="7" width="44" customWidth="1"/>
    <col min="8" max="8" width="15" customWidth="1"/>
    <col min="9" max="10" width="19" customWidth="1"/>
    <col min="11" max="11" width="11" customWidth="1"/>
    <col min="12" max="14" width="16" customWidth="1"/>
    <col min="15" max="15" width="12" customWidth="1"/>
    <col min="16" max="16" width="16" customWidth="1"/>
    <col min="17" max="17" width="18" customWidth="1"/>
    <col min="18" max="18" width="19" customWidth="1"/>
    <col min="19" max="19" width="14" customWidth="1"/>
    <col min="20" max="20" width="21" customWidth="1"/>
    <col min="21" max="21" width="25" customWidth="1"/>
    <col min="22" max="22" width="20" customWidth="1"/>
    <col min="23" max="23" width="48" customWidth="1"/>
  </cols>
  <sheetData>
    <row r="1" spans="1:23" ht="30" customHeight="1" x14ac:dyDescent="0.3">
      <c r="A1" s="65" t="s">
        <v>52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3" ht="14.85" customHeight="1" x14ac:dyDescent="0.3">
      <c r="A3" s="66" t="s">
        <v>53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</row>
    <row r="4" spans="1:2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3" ht="50.4" x14ac:dyDescent="0.3">
      <c r="A5" s="20" t="s">
        <v>54</v>
      </c>
      <c r="B5" s="20" t="s">
        <v>18</v>
      </c>
      <c r="C5" s="20" t="s">
        <v>55</v>
      </c>
      <c r="D5" s="20" t="s">
        <v>56</v>
      </c>
      <c r="E5" s="20" t="s">
        <v>57</v>
      </c>
      <c r="F5" s="20" t="s">
        <v>58</v>
      </c>
      <c r="G5" s="20" t="s">
        <v>59</v>
      </c>
      <c r="H5" s="20" t="s">
        <v>60</v>
      </c>
      <c r="I5" s="20" t="s">
        <v>61</v>
      </c>
      <c r="J5" s="20" t="s">
        <v>62</v>
      </c>
      <c r="K5" s="20" t="s">
        <v>63</v>
      </c>
      <c r="L5" s="20" t="s">
        <v>64</v>
      </c>
      <c r="M5" s="20" t="s">
        <v>65</v>
      </c>
      <c r="N5" s="20" t="s">
        <v>5</v>
      </c>
      <c r="O5" s="20" t="s">
        <v>66</v>
      </c>
      <c r="P5" s="20" t="s">
        <v>67</v>
      </c>
      <c r="Q5" s="20" t="s">
        <v>68</v>
      </c>
      <c r="R5" s="20" t="s">
        <v>69</v>
      </c>
      <c r="S5" s="20" t="s">
        <v>70</v>
      </c>
      <c r="T5" s="20" t="s">
        <v>71</v>
      </c>
      <c r="U5" s="20" t="s">
        <v>72</v>
      </c>
      <c r="V5" s="20" t="s">
        <v>73</v>
      </c>
      <c r="W5" s="19" t="s">
        <v>74</v>
      </c>
    </row>
    <row r="6" spans="1:23" ht="42" customHeight="1" x14ac:dyDescent="0.3">
      <c r="A6" s="6"/>
      <c r="B6" s="5"/>
      <c r="C6" s="5"/>
      <c r="D6" s="5"/>
      <c r="E6" s="5"/>
      <c r="F6" s="7"/>
      <c r="G6" s="21"/>
      <c r="H6" s="6"/>
      <c r="I6" s="8"/>
      <c r="J6" s="8"/>
      <c r="K6" s="9"/>
      <c r="L6" s="10" t="str">
        <f t="shared" ref="L6:L37" si="0">IFERROR(MID(E6,FIND("#",E6)+1,20),"")</f>
        <v/>
      </c>
      <c r="M6" s="10" t="str">
        <f>IF(D6="","",IF(J6&lt;&gt;"",J6,IFERROR(VLOOKUP(L6,'Справочник ролей'!$A$2:$E$20,4,0),0)))</f>
        <v/>
      </c>
      <c r="N6" s="9" t="str">
        <f>IF(D6="","",IF(K6&lt;&gt;"",K6,IFERROR(VLOOKUP(L6,'Справочник ролей'!$A$2:$E$20,5,0),0)))</f>
        <v/>
      </c>
      <c r="O6" s="11" t="str">
        <f>IF(D6="","",IF(H6&lt;&gt;"Авто",H6,IF(Ввод!$B$10&lt;&gt;"Авто",Ввод!$B$10,IFERROR(VLOOKUP(Ввод!$B$5,'Справочник типов'!$A$2:$I$27,9,0),"Всего"))))</f>
        <v/>
      </c>
      <c r="P6" s="11" t="str">
        <f>IF(D6="","",IF(O6="В месяц",MAX(1,SUMIF('Технические данные'!$F$12:$F$19,"TERM_MONTHS",'Технические данные'!$I$12:$I$19)),IF(O6="На единицу",IF(I6&lt;&gt;"",I6,MAX(1,SUMIF('Технические данные'!$F$12:$F$19,"QTY",'Технические данные'!$I$12:$I$19))),IF(O6="Ед. × месяц",IF(I6&lt;&gt;"",I6,MAX(1,SUMIF('Технические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6" s="10" t="str">
        <f>IF(D6="","",F6*P6*IF(SUMIF('Технические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6" s="10" t="str">
        <f t="shared" ref="R6:R37" si="1">IF(D6="","",Q6*M6)</f>
        <v/>
      </c>
      <c r="S6" s="12" t="str">
        <f t="shared" ref="S6:S37" si="2">IF(D6="","",Q6*N6)</f>
        <v/>
      </c>
      <c r="T6" s="9" t="str">
        <f>IF(D6="","",Q6/(Ввод!$B$9*IF(SUMIF('Технические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6" s="5" t="str">
        <f t="shared" ref="U6:U37" si="3">IF(D6="","",IF(F6&lt;=0,"ПРОВЕРИТЬ ЧАСЫ",IF(AND(M6=0,N6=0),"ПРОВЕРИТЬ СТАВКУ","OK")))</f>
        <v/>
      </c>
      <c r="V6" s="5"/>
    </row>
    <row r="7" spans="1:23" ht="42" customHeight="1" x14ac:dyDescent="0.3">
      <c r="A7" s="6"/>
      <c r="B7" s="5"/>
      <c r="C7" s="5"/>
      <c r="D7" s="5"/>
      <c r="E7" s="5"/>
      <c r="F7" s="7"/>
      <c r="G7" s="21"/>
      <c r="H7" s="6"/>
      <c r="I7" s="8"/>
      <c r="J7" s="8"/>
      <c r="K7" s="9"/>
      <c r="L7" s="10" t="str">
        <f t="shared" si="0"/>
        <v/>
      </c>
      <c r="M7" s="10" t="str">
        <f>IF(D7="","",IF(J7&lt;&gt;"",J7,IFERROR(VLOOKUP(L7,'Справочник ролей'!$A$2:$E$20,4,0),0)))</f>
        <v/>
      </c>
      <c r="N7" s="9" t="str">
        <f>IF(D7="","",IF(K7&lt;&gt;"",K7,IFERROR(VLOOKUP(L7,'Справочник ролей'!$A$2:$E$20,5,0),0)))</f>
        <v/>
      </c>
      <c r="O7" s="11" t="str">
        <f>IF(D7="","",IF(H7&lt;&gt;"Авто",H7,IF(Ввод!$B$10&lt;&gt;"Авто",Ввод!$B$10,IFERROR(VLOOKUP(Ввод!$B$5,'Справочник типов'!$A$2:$I$27,9,0),"Всего"))))</f>
        <v/>
      </c>
      <c r="P7" s="11" t="str">
        <f>IF(D7="","",IF(O7="В месяц",MAX(1,SUMIF('Технические данные'!$F$12:$F$19,"TERM_MONTHS",'Технические данные'!$I$12:$I$19)),IF(O7="На единицу",IF(I7&lt;&gt;"",I7,MAX(1,SUMIF('Технические данные'!$F$12:$F$19,"QTY",'Технические данные'!$I$12:$I$19))),IF(O7="Ед. × месяц",IF(I7&lt;&gt;"",I7,MAX(1,SUMIF('Технические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7" s="10" t="str">
        <f>IF(D7="","",F7*P7*IF(SUMIF('Технические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7" s="10" t="str">
        <f t="shared" si="1"/>
        <v/>
      </c>
      <c r="S7" s="12" t="str">
        <f t="shared" si="2"/>
        <v/>
      </c>
      <c r="T7" s="9" t="str">
        <f>IF(D7="","",Q7/(Ввод!$B$9*IF(SUMIF('Технические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7" s="5" t="str">
        <f t="shared" si="3"/>
        <v/>
      </c>
      <c r="V7" s="5"/>
    </row>
    <row r="8" spans="1:23" ht="42" customHeight="1" x14ac:dyDescent="0.3">
      <c r="A8" s="6"/>
      <c r="B8" s="5"/>
      <c r="C8" s="5"/>
      <c r="D8" s="5"/>
      <c r="E8" s="5"/>
      <c r="F8" s="7"/>
      <c r="G8" s="21"/>
      <c r="H8" s="6"/>
      <c r="I8" s="8"/>
      <c r="J8" s="8"/>
      <c r="K8" s="9"/>
      <c r="L8" s="10" t="str">
        <f t="shared" si="0"/>
        <v/>
      </c>
      <c r="M8" s="10" t="str">
        <f>IF(D8="","",IF(J8&lt;&gt;"",J8,IFERROR(VLOOKUP(L8,'Справочник ролей'!$A$2:$E$20,4,0),0)))</f>
        <v/>
      </c>
      <c r="N8" s="9" t="str">
        <f>IF(D8="","",IF(K8&lt;&gt;"",K8,IFERROR(VLOOKUP(L8,'Справочник ролей'!$A$2:$E$20,5,0),0)))</f>
        <v/>
      </c>
      <c r="O8" s="11" t="str">
        <f>IF(D8="","",IF(H8&lt;&gt;"Авто",H8,IF(Ввод!$B$10&lt;&gt;"Авто",Ввод!$B$10,IFERROR(VLOOKUP(Ввод!$B$5,'Справочник типов'!$A$2:$I$27,9,0),"Всего"))))</f>
        <v/>
      </c>
      <c r="P8" s="11" t="str">
        <f>IF(D8="","",IF(O8="В месяц",MAX(1,SUMIF('Технические данные'!$F$12:$F$19,"TERM_MONTHS",'Технические данные'!$I$12:$I$19)),IF(O8="На единицу",IF(I8&lt;&gt;"",I8,MAX(1,SUMIF('Технические данные'!$F$12:$F$19,"QTY",'Технические данные'!$I$12:$I$19))),IF(O8="Ед. × месяц",IF(I8&lt;&gt;"",I8,MAX(1,SUMIF('Технические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8" s="10" t="str">
        <f>IF(D8="","",F8*P8*IF(SUMIF('Технические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8" s="10" t="str">
        <f t="shared" si="1"/>
        <v/>
      </c>
      <c r="S8" s="12" t="str">
        <f t="shared" si="2"/>
        <v/>
      </c>
      <c r="T8" s="9" t="str">
        <f>IF(D8="","",Q8/(Ввод!$B$9*IF(SUMIF('Технические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8" s="5" t="str">
        <f t="shared" si="3"/>
        <v/>
      </c>
      <c r="V8" s="5"/>
    </row>
    <row r="9" spans="1:23" ht="42" customHeight="1" x14ac:dyDescent="0.3">
      <c r="A9" s="6"/>
      <c r="B9" s="5"/>
      <c r="C9" s="5"/>
      <c r="D9" s="5"/>
      <c r="E9" s="5"/>
      <c r="F9" s="7"/>
      <c r="G9" s="21"/>
      <c r="H9" s="6"/>
      <c r="I9" s="8"/>
      <c r="J9" s="8"/>
      <c r="K9" s="9"/>
      <c r="L9" s="10" t="str">
        <f t="shared" si="0"/>
        <v/>
      </c>
      <c r="M9" s="10" t="str">
        <f>IF(D9="","",IF(J9&lt;&gt;"",J9,IFERROR(VLOOKUP(L9,'Справочник ролей'!$A$2:$E$20,4,0),0)))</f>
        <v/>
      </c>
      <c r="N9" s="9" t="str">
        <f>IF(D9="","",IF(K9&lt;&gt;"",K9,IFERROR(VLOOKUP(L9,'Справочник ролей'!$A$2:$E$20,5,0),0)))</f>
        <v/>
      </c>
      <c r="O9" s="11" t="str">
        <f>IF(D9="","",IF(H9&lt;&gt;"Авто",H9,IF(Ввод!$B$10&lt;&gt;"Авто",Ввод!$B$10,IFERROR(VLOOKUP(Ввод!$B$5,'Справочник типов'!$A$2:$I$27,9,0),"Всего"))))</f>
        <v/>
      </c>
      <c r="P9" s="11" t="str">
        <f>IF(D9="","",IF(O9="В месяц",MAX(1,SUMIF('Технические данные'!$F$12:$F$19,"TERM_MONTHS",'Технические данные'!$I$12:$I$19)),IF(O9="На единицу",IF(I9&lt;&gt;"",I9,MAX(1,SUMIF('Технические данные'!$F$12:$F$19,"QTY",'Технические данные'!$I$12:$I$19))),IF(O9="Ед. × месяц",IF(I9&lt;&gt;"",I9,MAX(1,SUMIF('Технические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9" s="10" t="str">
        <f>IF(D9="","",F9*P9*IF(SUMIF('Технические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9" s="10" t="str">
        <f t="shared" si="1"/>
        <v/>
      </c>
      <c r="S9" s="12" t="str">
        <f t="shared" si="2"/>
        <v/>
      </c>
      <c r="T9" s="9" t="str">
        <f>IF(D9="","",Q9/(Ввод!$B$9*IF(SUMIF('Технические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9" s="5" t="str">
        <f t="shared" si="3"/>
        <v/>
      </c>
      <c r="V9" s="5"/>
    </row>
    <row r="10" spans="1:23" ht="42" customHeight="1" x14ac:dyDescent="0.3">
      <c r="A10" s="6"/>
      <c r="B10" s="5"/>
      <c r="C10" s="5"/>
      <c r="D10" s="5"/>
      <c r="E10" s="5"/>
      <c r="F10" s="7"/>
      <c r="G10" s="21"/>
      <c r="H10" s="6"/>
      <c r="I10" s="8"/>
      <c r="J10" s="8"/>
      <c r="K10" s="9"/>
      <c r="L10" s="10" t="str">
        <f t="shared" si="0"/>
        <v/>
      </c>
      <c r="M10" s="10" t="str">
        <f>IF(D10="","",IF(J10&lt;&gt;"",J10,IFERROR(VLOOKUP(L10,'Справочник ролей'!$A$2:$E$20,4,0),0)))</f>
        <v/>
      </c>
      <c r="N10" s="9" t="str">
        <f>IF(D10="","",IF(K10&lt;&gt;"",K10,IFERROR(VLOOKUP(L10,'Справочник ролей'!$A$2:$E$20,5,0),0)))</f>
        <v/>
      </c>
      <c r="O10" s="11" t="str">
        <f>IF(D10="","",IF(H10&lt;&gt;"Авто",H10,IF(Ввод!$B$10&lt;&gt;"Авто",Ввод!$B$10,IFERROR(VLOOKUP(Ввод!$B$5,'Справочник типов'!$A$2:$I$27,9,0),"Всего"))))</f>
        <v/>
      </c>
      <c r="P10" s="11" t="str">
        <f>IF(D10="","",IF(O10="В месяц",MAX(1,SUMIF('Технические данные'!$F$12:$F$19,"TERM_MONTHS",'Технические данные'!$I$12:$I$19)),IF(O10="На единицу",IF(I10&lt;&gt;"",I10,MAX(1,SUMIF('Технические данные'!$F$12:$F$19,"QTY",'Технические данные'!$I$12:$I$19))),IF(O10="Ед. × месяц",IF(I10&lt;&gt;"",I10,MAX(1,SUMIF('Технические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10" s="10" t="str">
        <f>IF(D10="","",F10*P10*IF(SUMIF('Технические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10" s="10" t="str">
        <f t="shared" si="1"/>
        <v/>
      </c>
      <c r="S10" s="12" t="str">
        <f t="shared" si="2"/>
        <v/>
      </c>
      <c r="T10" s="9" t="str">
        <f>IF(D10="","",Q10/(Ввод!$B$9*IF(SUMIF('Технические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10" s="5" t="str">
        <f t="shared" si="3"/>
        <v/>
      </c>
      <c r="V10" s="5"/>
    </row>
    <row r="11" spans="1:23" ht="42" customHeight="1" x14ac:dyDescent="0.3">
      <c r="A11" s="6"/>
      <c r="B11" s="5"/>
      <c r="C11" s="5"/>
      <c r="D11" s="5"/>
      <c r="E11" s="5"/>
      <c r="F11" s="7"/>
      <c r="G11" s="21"/>
      <c r="H11" s="6"/>
      <c r="I11" s="8"/>
      <c r="J11" s="8"/>
      <c r="K11" s="9"/>
      <c r="L11" s="10" t="str">
        <f t="shared" si="0"/>
        <v/>
      </c>
      <c r="M11" s="10" t="str">
        <f>IF(D11="","",IF(J11&lt;&gt;"",J11,IFERROR(VLOOKUP(L11,'Справочник ролей'!$A$2:$E$20,4,0),0)))</f>
        <v/>
      </c>
      <c r="N11" s="9" t="str">
        <f>IF(D11="","",IF(K11&lt;&gt;"",K11,IFERROR(VLOOKUP(L11,'Справочник ролей'!$A$2:$E$20,5,0),0)))</f>
        <v/>
      </c>
      <c r="O11" s="11" t="str">
        <f>IF(D11="","",IF(H11&lt;&gt;"Авто",H11,IF(Ввод!$B$10&lt;&gt;"Авто",Ввод!$B$10,IFERROR(VLOOKUP(Ввод!$B$5,'Справочник типов'!$A$2:$I$27,9,0),"Всего"))))</f>
        <v/>
      </c>
      <c r="P11" s="11" t="str">
        <f>IF(D11="","",IF(O11="В месяц",MAX(1,SUMIF('Технические данные'!$F$12:$F$19,"TERM_MONTHS",'Технические данные'!$I$12:$I$19)),IF(O11="На единицу",IF(I11&lt;&gt;"",I11,MAX(1,SUMIF('Технические данные'!$F$12:$F$19,"QTY",'Технические данные'!$I$12:$I$19))),IF(O11="Ед. × месяц",IF(I11&lt;&gt;"",I11,MAX(1,SUMIF('Технические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11" s="10" t="str">
        <f>IF(D11="","",F11*P11*IF(SUMIF('Технические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11" s="10" t="str">
        <f t="shared" si="1"/>
        <v/>
      </c>
      <c r="S11" s="12" t="str">
        <f t="shared" si="2"/>
        <v/>
      </c>
      <c r="T11" s="9" t="str">
        <f>IF(D11="","",Q11/(Ввод!$B$9*IF(SUMIF('Технические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11" s="5" t="str">
        <f t="shared" si="3"/>
        <v/>
      </c>
      <c r="V11" s="5"/>
    </row>
    <row r="12" spans="1:23" ht="42" customHeight="1" x14ac:dyDescent="0.3">
      <c r="A12" s="6"/>
      <c r="B12" s="5"/>
      <c r="C12" s="5"/>
      <c r="D12" s="5"/>
      <c r="E12" s="5"/>
      <c r="F12" s="7"/>
      <c r="G12" s="21"/>
      <c r="H12" s="6"/>
      <c r="I12" s="8"/>
      <c r="J12" s="8"/>
      <c r="K12" s="9"/>
      <c r="L12" s="10" t="str">
        <f t="shared" si="0"/>
        <v/>
      </c>
      <c r="M12" s="10" t="str">
        <f>IF(D12="","",IF(J12&lt;&gt;"",J12,IFERROR(VLOOKUP(L12,'Справочник ролей'!$A$2:$E$20,4,0),0)))</f>
        <v/>
      </c>
      <c r="N12" s="9" t="str">
        <f>IF(D12="","",IF(K12&lt;&gt;"",K12,IFERROR(VLOOKUP(L12,'Справочник ролей'!$A$2:$E$20,5,0),0)))</f>
        <v/>
      </c>
      <c r="O12" s="11" t="str">
        <f>IF(D12="","",IF(H12&lt;&gt;"Авто",H12,IF(Ввод!$B$10&lt;&gt;"Авто",Ввод!$B$10,IFERROR(VLOOKUP(Ввод!$B$5,'Справочник типов'!$A$2:$I$27,9,0),"Всего"))))</f>
        <v/>
      </c>
      <c r="P12" s="11" t="str">
        <f>IF(D12="","",IF(O12="В месяц",MAX(1,SUMIF('Технические данные'!$F$12:$F$19,"TERM_MONTHS",'Технические данные'!$I$12:$I$19)),IF(O12="На единицу",IF(I12&lt;&gt;"",I12,MAX(1,SUMIF('Технические данные'!$F$12:$F$19,"QTY",'Технические данные'!$I$12:$I$19))),IF(O12="Ед. × месяц",IF(I12&lt;&gt;"",I12,MAX(1,SUMIF('Технические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12" s="10" t="str">
        <f>IF(D12="","",F12*P12*IF(SUMIF('Технические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12" s="10" t="str">
        <f t="shared" si="1"/>
        <v/>
      </c>
      <c r="S12" s="12" t="str">
        <f t="shared" si="2"/>
        <v/>
      </c>
      <c r="T12" s="9" t="str">
        <f>IF(D12="","",Q12/(Ввод!$B$9*IF(SUMIF('Технические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12" s="5" t="str">
        <f t="shared" si="3"/>
        <v/>
      </c>
      <c r="V12" s="5"/>
    </row>
    <row r="13" spans="1:23" ht="42" customHeight="1" x14ac:dyDescent="0.3">
      <c r="A13" s="6"/>
      <c r="B13" s="5"/>
      <c r="C13" s="5"/>
      <c r="D13" s="5"/>
      <c r="E13" s="5"/>
      <c r="F13" s="7"/>
      <c r="G13" s="21"/>
      <c r="H13" s="6"/>
      <c r="I13" s="8"/>
      <c r="J13" s="8"/>
      <c r="K13" s="9"/>
      <c r="L13" s="10" t="str">
        <f t="shared" si="0"/>
        <v/>
      </c>
      <c r="M13" s="10" t="str">
        <f>IF(D13="","",IF(J13&lt;&gt;"",J13,IFERROR(VLOOKUP(L13,'Справочник ролей'!$A$2:$E$20,4,0),0)))</f>
        <v/>
      </c>
      <c r="N13" s="9" t="str">
        <f>IF(D13="","",IF(K13&lt;&gt;"",K13,IFERROR(VLOOKUP(L13,'Справочник ролей'!$A$2:$E$20,5,0),0)))</f>
        <v/>
      </c>
      <c r="O13" s="11" t="str">
        <f>IF(D13="","",IF(H13&lt;&gt;"Авто",H13,IF(Ввод!$B$10&lt;&gt;"Авто",Ввод!$B$10,IFERROR(VLOOKUP(Ввод!$B$5,'Справочник типов'!$A$2:$I$27,9,0),"Всего"))))</f>
        <v/>
      </c>
      <c r="P13" s="11" t="str">
        <f>IF(D13="","",IF(O13="В месяц",MAX(1,SUMIF('Технические данные'!$F$12:$F$19,"TERM_MONTHS",'Технические данные'!$I$12:$I$19)),IF(O13="На единицу",IF(I13&lt;&gt;"",I13,MAX(1,SUMIF('Технические данные'!$F$12:$F$19,"QTY",'Технические данные'!$I$12:$I$19))),IF(O13="Ед. × месяц",IF(I13&lt;&gt;"",I13,MAX(1,SUMIF('Технические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13" s="10" t="str">
        <f>IF(D13="","",F13*P13*IF(SUMIF('Технические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13" s="10" t="str">
        <f t="shared" si="1"/>
        <v/>
      </c>
      <c r="S13" s="12" t="str">
        <f t="shared" si="2"/>
        <v/>
      </c>
      <c r="T13" s="9" t="str">
        <f>IF(D13="","",Q13/(Ввод!$B$9*IF(SUMIF('Технические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13" s="5" t="str">
        <f t="shared" si="3"/>
        <v/>
      </c>
      <c r="V13" s="5"/>
    </row>
    <row r="14" spans="1:23" ht="42" customHeight="1" x14ac:dyDescent="0.3">
      <c r="A14" s="6"/>
      <c r="B14" s="5"/>
      <c r="C14" s="5"/>
      <c r="D14" s="5"/>
      <c r="E14" s="5"/>
      <c r="F14" s="7"/>
      <c r="G14" s="21"/>
      <c r="H14" s="6"/>
      <c r="I14" s="8"/>
      <c r="J14" s="8"/>
      <c r="K14" s="9"/>
      <c r="L14" s="10" t="str">
        <f t="shared" si="0"/>
        <v/>
      </c>
      <c r="M14" s="10" t="str">
        <f>IF(D14="","",IF(J14&lt;&gt;"",J14,IFERROR(VLOOKUP(L14,'Справочник ролей'!$A$2:$E$20,4,0),0)))</f>
        <v/>
      </c>
      <c r="N14" s="9" t="str">
        <f>IF(D14="","",IF(K14&lt;&gt;"",K14,IFERROR(VLOOKUP(L14,'Справочник ролей'!$A$2:$E$20,5,0),0)))</f>
        <v/>
      </c>
      <c r="O14" s="11" t="str">
        <f>IF(D14="","",IF(H14&lt;&gt;"Авто",H14,IF(Ввод!$B$10&lt;&gt;"Авто",Ввод!$B$10,IFERROR(VLOOKUP(Ввод!$B$5,'Справочник типов'!$A$2:$I$27,9,0),"Всего"))))</f>
        <v/>
      </c>
      <c r="P14" s="11" t="str">
        <f>IF(D14="","",IF(O14="В месяц",MAX(1,SUMIF('Технические данные'!$F$12:$F$19,"TERM_MONTHS",'Технические данные'!$I$12:$I$19)),IF(O14="На единицу",IF(I14&lt;&gt;"",I14,MAX(1,SUMIF('Технические данные'!$F$12:$F$19,"QTY",'Технические данные'!$I$12:$I$19))),IF(O14="Ед. × месяц",IF(I14&lt;&gt;"",I14,MAX(1,SUMIF('Технические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14" s="10" t="str">
        <f>IF(D14="","",F14*P14*IF(SUMIF('Технические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14" s="10" t="str">
        <f t="shared" si="1"/>
        <v/>
      </c>
      <c r="S14" s="12" t="str">
        <f t="shared" si="2"/>
        <v/>
      </c>
      <c r="T14" s="9" t="str">
        <f>IF(D14="","",Q14/(Ввод!$B$9*IF(SUMIF('Технические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14" s="5" t="str">
        <f t="shared" si="3"/>
        <v/>
      </c>
      <c r="V14" s="5"/>
    </row>
    <row r="15" spans="1:23" ht="42" customHeight="1" x14ac:dyDescent="0.3">
      <c r="A15" s="6"/>
      <c r="B15" s="5"/>
      <c r="C15" s="5"/>
      <c r="D15" s="5"/>
      <c r="E15" s="5"/>
      <c r="F15" s="7"/>
      <c r="G15" s="21"/>
      <c r="H15" s="6"/>
      <c r="I15" s="8"/>
      <c r="J15" s="8"/>
      <c r="K15" s="9"/>
      <c r="L15" s="10" t="str">
        <f t="shared" si="0"/>
        <v/>
      </c>
      <c r="M15" s="10" t="str">
        <f>IF(D15="","",IF(J15&lt;&gt;"",J15,IFERROR(VLOOKUP(L15,'Справочник ролей'!$A$2:$E$20,4,0),0)))</f>
        <v/>
      </c>
      <c r="N15" s="9" t="str">
        <f>IF(D15="","",IF(K15&lt;&gt;"",K15,IFERROR(VLOOKUP(L15,'Справочник ролей'!$A$2:$E$20,5,0),0)))</f>
        <v/>
      </c>
      <c r="O15" s="11" t="str">
        <f>IF(D15="","",IF(H15&lt;&gt;"Авто",H15,IF(Ввод!$B$10&lt;&gt;"Авто",Ввод!$B$10,IFERROR(VLOOKUP(Ввод!$B$5,'Справочник типов'!$A$2:$I$27,9,0),"Всего"))))</f>
        <v/>
      </c>
      <c r="P15" s="11" t="str">
        <f>IF(D15="","",IF(O15="В месяц",MAX(1,SUMIF('Технические данные'!$F$12:$F$19,"TERM_MONTHS",'Технические данные'!$I$12:$I$19)),IF(O15="На единицу",IF(I15&lt;&gt;"",I15,MAX(1,SUMIF('Технические данные'!$F$12:$F$19,"QTY",'Технические данные'!$I$12:$I$19))),IF(O15="Ед. × месяц",IF(I15&lt;&gt;"",I15,MAX(1,SUMIF('Технические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15" s="10" t="str">
        <f>IF(D15="","",F15*P15*IF(SUMIF('Технические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15" s="10" t="str">
        <f t="shared" si="1"/>
        <v/>
      </c>
      <c r="S15" s="12" t="str">
        <f t="shared" si="2"/>
        <v/>
      </c>
      <c r="T15" s="9" t="str">
        <f>IF(D15="","",Q15/(Ввод!$B$9*IF(SUMIF('Технические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15" s="5" t="str">
        <f t="shared" si="3"/>
        <v/>
      </c>
      <c r="V15" s="5"/>
    </row>
    <row r="16" spans="1:23" ht="42" customHeight="1" x14ac:dyDescent="0.3">
      <c r="A16" s="6"/>
      <c r="B16" s="5"/>
      <c r="C16" s="5"/>
      <c r="D16" s="5"/>
      <c r="E16" s="5"/>
      <c r="F16" s="7"/>
      <c r="G16" s="21"/>
      <c r="H16" s="6"/>
      <c r="I16" s="8"/>
      <c r="J16" s="8"/>
      <c r="K16" s="9"/>
      <c r="L16" s="10" t="str">
        <f t="shared" si="0"/>
        <v/>
      </c>
      <c r="M16" s="10" t="str">
        <f>IF(D16="","",IF(J16&lt;&gt;"",J16,IFERROR(VLOOKUP(L16,'Справочник ролей'!$A$2:$E$20,4,0),0)))</f>
        <v/>
      </c>
      <c r="N16" s="9" t="str">
        <f>IF(D16="","",IF(K16&lt;&gt;"",K16,IFERROR(VLOOKUP(L16,'Справочник ролей'!$A$2:$E$20,5,0),0)))</f>
        <v/>
      </c>
      <c r="O16" s="11" t="str">
        <f>IF(D16="","",IF(H16&lt;&gt;"Авто",H16,IF(Ввод!$B$10&lt;&gt;"Авто",Ввод!$B$10,IFERROR(VLOOKUP(Ввод!$B$5,'Справочник типов'!$A$2:$I$27,9,0),"Всего"))))</f>
        <v/>
      </c>
      <c r="P16" s="11" t="str">
        <f>IF(D16="","",IF(O16="В месяц",MAX(1,SUMIF('Технические данные'!$F$12:$F$19,"TERM_MONTHS",'Технические данные'!$I$12:$I$19)),IF(O16="На единицу",IF(I16&lt;&gt;"",I16,MAX(1,SUMIF('Технические данные'!$F$12:$F$19,"QTY",'Технические данные'!$I$12:$I$19))),IF(O16="Ед. × месяц",IF(I16&lt;&gt;"",I16,MAX(1,SUMIF('Технические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16" s="10" t="str">
        <f>IF(D16="","",F16*P16*IF(SUMIF('Технические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16" s="10" t="str">
        <f t="shared" si="1"/>
        <v/>
      </c>
      <c r="S16" s="12" t="str">
        <f t="shared" si="2"/>
        <v/>
      </c>
      <c r="T16" s="9" t="str">
        <f>IF(D16="","",Q16/(Ввод!$B$9*IF(SUMIF('Технические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16" s="5" t="str">
        <f t="shared" si="3"/>
        <v/>
      </c>
      <c r="V16" s="5"/>
    </row>
    <row r="17" spans="1:22" ht="42" customHeight="1" x14ac:dyDescent="0.3">
      <c r="A17" s="6"/>
      <c r="B17" s="5"/>
      <c r="C17" s="5"/>
      <c r="D17" s="5"/>
      <c r="E17" s="5"/>
      <c r="F17" s="7"/>
      <c r="G17" s="21"/>
      <c r="H17" s="6"/>
      <c r="I17" s="8"/>
      <c r="J17" s="8"/>
      <c r="K17" s="9"/>
      <c r="L17" s="10" t="str">
        <f t="shared" si="0"/>
        <v/>
      </c>
      <c r="M17" s="10" t="str">
        <f>IF(D17="","",IF(J17&lt;&gt;"",J17,IFERROR(VLOOKUP(L17,'Справочник ролей'!$A$2:$E$20,4,0),0)))</f>
        <v/>
      </c>
      <c r="N17" s="9" t="str">
        <f>IF(D17="","",IF(K17&lt;&gt;"",K17,IFERROR(VLOOKUP(L17,'Справочник ролей'!$A$2:$E$20,5,0),0)))</f>
        <v/>
      </c>
      <c r="O17" s="11" t="str">
        <f>IF(D17="","",IF(H17&lt;&gt;"Авто",H17,IF(Ввод!$B$10&lt;&gt;"Авто",Ввод!$B$10,IFERROR(VLOOKUP(Ввод!$B$5,'Справочник типов'!$A$2:$I$27,9,0),"Всего"))))</f>
        <v/>
      </c>
      <c r="P17" s="11" t="str">
        <f>IF(D17="","",IF(O17="В месяц",MAX(1,SUMIF('Технические данные'!$F$12:$F$19,"TERM_MONTHS",'Технические данные'!$I$12:$I$19)),IF(O17="На единицу",IF(I17&lt;&gt;"",I17,MAX(1,SUMIF('Технические данные'!$F$12:$F$19,"QTY",'Технические данные'!$I$12:$I$19))),IF(O17="Ед. × месяц",IF(I17&lt;&gt;"",I17,MAX(1,SUMIF('Технические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17" s="10" t="str">
        <f>IF(D17="","",F17*P17*IF(SUMIF('Технические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17" s="10" t="str">
        <f t="shared" si="1"/>
        <v/>
      </c>
      <c r="S17" s="12" t="str">
        <f t="shared" si="2"/>
        <v/>
      </c>
      <c r="T17" s="9" t="str">
        <f>IF(D17="","",Q17/(Ввод!$B$9*IF(SUMIF('Технические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17" s="5" t="str">
        <f t="shared" si="3"/>
        <v/>
      </c>
      <c r="V17" s="5"/>
    </row>
    <row r="18" spans="1:22" ht="42" customHeight="1" x14ac:dyDescent="0.3">
      <c r="A18" s="6"/>
      <c r="B18" s="5"/>
      <c r="C18" s="5"/>
      <c r="D18" s="5"/>
      <c r="E18" s="5"/>
      <c r="F18" s="7"/>
      <c r="G18" s="21"/>
      <c r="H18" s="6"/>
      <c r="I18" s="8"/>
      <c r="J18" s="8"/>
      <c r="K18" s="9"/>
      <c r="L18" s="10" t="str">
        <f t="shared" si="0"/>
        <v/>
      </c>
      <c r="M18" s="10" t="str">
        <f>IF(D18="","",IF(J18&lt;&gt;"",J18,IFERROR(VLOOKUP(L18,'Справочник ролей'!$A$2:$E$20,4,0),0)))</f>
        <v/>
      </c>
      <c r="N18" s="9" t="str">
        <f>IF(D18="","",IF(K18&lt;&gt;"",K18,IFERROR(VLOOKUP(L18,'Справочник ролей'!$A$2:$E$20,5,0),0)))</f>
        <v/>
      </c>
      <c r="O18" s="11" t="str">
        <f>IF(D18="","",IF(H18&lt;&gt;"Авто",H18,IF(Ввод!$B$10&lt;&gt;"Авто",Ввод!$B$10,IFERROR(VLOOKUP(Ввод!$B$5,'Справочник типов'!$A$2:$I$27,9,0),"Всего"))))</f>
        <v/>
      </c>
      <c r="P18" s="11" t="str">
        <f>IF(D18="","",IF(O18="В месяц",MAX(1,SUMIF('Технические данные'!$F$12:$F$19,"TERM_MONTHS",'Технические данные'!$I$12:$I$19)),IF(O18="На единицу",IF(I18&lt;&gt;"",I18,MAX(1,SUMIF('Технические данные'!$F$12:$F$19,"QTY",'Технические данные'!$I$12:$I$19))),IF(O18="Ед. × месяц",IF(I18&lt;&gt;"",I18,MAX(1,SUMIF('Технические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18" s="10" t="str">
        <f>IF(D18="","",F18*P18*IF(SUMIF('Технические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18" s="10" t="str">
        <f t="shared" si="1"/>
        <v/>
      </c>
      <c r="S18" s="12" t="str">
        <f t="shared" si="2"/>
        <v/>
      </c>
      <c r="T18" s="9" t="str">
        <f>IF(D18="","",Q18/(Ввод!$B$9*IF(SUMIF('Технические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18" s="5" t="str">
        <f t="shared" si="3"/>
        <v/>
      </c>
      <c r="V18" s="5"/>
    </row>
    <row r="19" spans="1:22" ht="42" customHeight="1" x14ac:dyDescent="0.3">
      <c r="A19" s="6"/>
      <c r="B19" s="5"/>
      <c r="C19" s="5"/>
      <c r="D19" s="5"/>
      <c r="E19" s="5"/>
      <c r="F19" s="7"/>
      <c r="G19" s="21"/>
      <c r="H19" s="6"/>
      <c r="I19" s="8"/>
      <c r="J19" s="8"/>
      <c r="K19" s="9"/>
      <c r="L19" s="10" t="str">
        <f t="shared" si="0"/>
        <v/>
      </c>
      <c r="M19" s="10" t="str">
        <f>IF(D19="","",IF(J19&lt;&gt;"",J19,IFERROR(VLOOKUP(L19,'Справочник ролей'!$A$2:$E$20,4,0),0)))</f>
        <v/>
      </c>
      <c r="N19" s="9" t="str">
        <f>IF(D19="","",IF(K19&lt;&gt;"",K19,IFERROR(VLOOKUP(L19,'Справочник ролей'!$A$2:$E$20,5,0),0)))</f>
        <v/>
      </c>
      <c r="O19" s="11" t="str">
        <f>IF(D19="","",IF(H19&lt;&gt;"Авто",H19,IF(Ввод!$B$10&lt;&gt;"Авто",Ввод!$B$10,IFERROR(VLOOKUP(Ввод!$B$5,'Справочник типов'!$A$2:$I$27,9,0),"Всего"))))</f>
        <v/>
      </c>
      <c r="P19" s="11" t="str">
        <f>IF(D19="","",IF(O19="В месяц",MAX(1,SUMIF('Технические данные'!$F$12:$F$19,"TERM_MONTHS",'Технические данные'!$I$12:$I$19)),IF(O19="На единицу",IF(I19&lt;&gt;"",I19,MAX(1,SUMIF('Технические данные'!$F$12:$F$19,"QTY",'Технические данные'!$I$12:$I$19))),IF(O19="Ед. × месяц",IF(I19&lt;&gt;"",I19,MAX(1,SUMIF('Технические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19" s="10" t="str">
        <f>IF(D19="","",F19*P19*IF(SUMIF('Технические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19" s="10" t="str">
        <f t="shared" si="1"/>
        <v/>
      </c>
      <c r="S19" s="12" t="str">
        <f t="shared" si="2"/>
        <v/>
      </c>
      <c r="T19" s="9" t="str">
        <f>IF(D19="","",Q19/(Ввод!$B$9*IF(SUMIF('Технические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19" s="5" t="str">
        <f t="shared" si="3"/>
        <v/>
      </c>
      <c r="V19" s="5"/>
    </row>
    <row r="20" spans="1:22" ht="42" customHeight="1" x14ac:dyDescent="0.3">
      <c r="A20" s="6"/>
      <c r="B20" s="5"/>
      <c r="C20" s="5"/>
      <c r="D20" s="5"/>
      <c r="E20" s="5"/>
      <c r="F20" s="7"/>
      <c r="G20" s="21"/>
      <c r="H20" s="6"/>
      <c r="I20" s="8"/>
      <c r="J20" s="8"/>
      <c r="K20" s="9"/>
      <c r="L20" s="10" t="str">
        <f t="shared" si="0"/>
        <v/>
      </c>
      <c r="M20" s="10" t="str">
        <f>IF(D20="","",IF(J20&lt;&gt;"",J20,IFERROR(VLOOKUP(L20,'Справочник ролей'!$A$2:$E$20,4,0),0)))</f>
        <v/>
      </c>
      <c r="N20" s="9" t="str">
        <f>IF(D20="","",IF(K20&lt;&gt;"",K20,IFERROR(VLOOKUP(L20,'Справочник ролей'!$A$2:$E$20,5,0),0)))</f>
        <v/>
      </c>
      <c r="O20" s="11" t="str">
        <f>IF(D20="","",IF(H20&lt;&gt;"Авто",H20,IF(Ввод!$B$10&lt;&gt;"Авто",Ввод!$B$10,IFERROR(VLOOKUP(Ввод!$B$5,'Справочник типов'!$A$2:$I$27,9,0),"Всего"))))</f>
        <v/>
      </c>
      <c r="P20" s="11" t="str">
        <f>IF(D20="","",IF(O20="В месяц",MAX(1,SUMIF('Технические данные'!$F$12:$F$19,"TERM_MONTHS",'Технические данные'!$I$12:$I$19)),IF(O20="На единицу",IF(I20&lt;&gt;"",I20,MAX(1,SUMIF('Технические данные'!$F$12:$F$19,"QTY",'Технические данные'!$I$12:$I$19))),IF(O20="Ед. × месяц",IF(I20&lt;&gt;"",I20,MAX(1,SUMIF('Технические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20" s="10" t="str">
        <f>IF(D20="","",F20*P20*IF(SUMIF('Технические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20" s="10" t="str">
        <f t="shared" si="1"/>
        <v/>
      </c>
      <c r="S20" s="12" t="str">
        <f t="shared" si="2"/>
        <v/>
      </c>
      <c r="T20" s="9" t="str">
        <f>IF(D20="","",Q20/(Ввод!$B$9*IF(SUMIF('Технические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20" s="5" t="str">
        <f t="shared" si="3"/>
        <v/>
      </c>
      <c r="V20" s="5"/>
    </row>
    <row r="21" spans="1:22" ht="42" customHeight="1" x14ac:dyDescent="0.3">
      <c r="A21" s="6"/>
      <c r="B21" s="5"/>
      <c r="C21" s="5"/>
      <c r="D21" s="5"/>
      <c r="E21" s="5"/>
      <c r="F21" s="7"/>
      <c r="G21" s="21"/>
      <c r="H21" s="6"/>
      <c r="I21" s="8"/>
      <c r="J21" s="8"/>
      <c r="K21" s="9"/>
      <c r="L21" s="10" t="str">
        <f t="shared" si="0"/>
        <v/>
      </c>
      <c r="M21" s="10" t="str">
        <f>IF(D21="","",IF(J21&lt;&gt;"",J21,IFERROR(VLOOKUP(L21,'Справочник ролей'!$A$2:$E$20,4,0),0)))</f>
        <v/>
      </c>
      <c r="N21" s="9" t="str">
        <f>IF(D21="","",IF(K21&lt;&gt;"",K21,IFERROR(VLOOKUP(L21,'Справочник ролей'!$A$2:$E$20,5,0),0)))</f>
        <v/>
      </c>
      <c r="O21" s="11" t="str">
        <f>IF(D21="","",IF(H21&lt;&gt;"Авто",H21,IF(Ввод!$B$10&lt;&gt;"Авто",Ввод!$B$10,IFERROR(VLOOKUP(Ввод!$B$5,'Справочник типов'!$A$2:$I$27,9,0),"Всего"))))</f>
        <v/>
      </c>
      <c r="P21" s="11" t="str">
        <f>IF(D21="","",IF(O21="В месяц",MAX(1,SUMIF('Технические данные'!$F$12:$F$19,"TERM_MONTHS",'Технические данные'!$I$12:$I$19)),IF(O21="На единицу",IF(I21&lt;&gt;"",I21,MAX(1,SUMIF('Технические данные'!$F$12:$F$19,"QTY",'Технические данные'!$I$12:$I$19))),IF(O21="Ед. × месяц",IF(I21&lt;&gt;"",I21,MAX(1,SUMIF('Технические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21" s="10" t="str">
        <f>IF(D21="","",F21*P21*IF(SUMIF('Технические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21" s="10" t="str">
        <f t="shared" si="1"/>
        <v/>
      </c>
      <c r="S21" s="12" t="str">
        <f t="shared" si="2"/>
        <v/>
      </c>
      <c r="T21" s="9" t="str">
        <f>IF(D21="","",Q21/(Ввод!$B$9*IF(SUMIF('Технические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21" s="5" t="str">
        <f t="shared" si="3"/>
        <v/>
      </c>
      <c r="V21" s="5"/>
    </row>
    <row r="22" spans="1:22" ht="42" customHeight="1" x14ac:dyDescent="0.3">
      <c r="A22" s="6"/>
      <c r="B22" s="5"/>
      <c r="C22" s="5"/>
      <c r="D22" s="5"/>
      <c r="E22" s="5"/>
      <c r="F22" s="7"/>
      <c r="G22" s="21"/>
      <c r="H22" s="6"/>
      <c r="I22" s="8"/>
      <c r="J22" s="8"/>
      <c r="K22" s="9"/>
      <c r="L22" s="10" t="str">
        <f t="shared" si="0"/>
        <v/>
      </c>
      <c r="M22" s="10" t="str">
        <f>IF(D22="","",IF(J22&lt;&gt;"",J22,IFERROR(VLOOKUP(L22,'Справочник ролей'!$A$2:$E$20,4,0),0)))</f>
        <v/>
      </c>
      <c r="N22" s="9" t="str">
        <f>IF(D22="","",IF(K22&lt;&gt;"",K22,IFERROR(VLOOKUP(L22,'Справочник ролей'!$A$2:$E$20,5,0),0)))</f>
        <v/>
      </c>
      <c r="O22" s="11" t="str">
        <f>IF(D22="","",IF(H22&lt;&gt;"Авто",H22,IF(Ввод!$B$10&lt;&gt;"Авто",Ввод!$B$10,IFERROR(VLOOKUP(Ввод!$B$5,'Справочник типов'!$A$2:$I$27,9,0),"Всего"))))</f>
        <v/>
      </c>
      <c r="P22" s="11" t="str">
        <f>IF(D22="","",IF(O22="В месяц",MAX(1,SUMIF('Технические данные'!$F$12:$F$19,"TERM_MONTHS",'Технические данные'!$I$12:$I$19)),IF(O22="На единицу",IF(I22&lt;&gt;"",I22,MAX(1,SUMIF('Технические данные'!$F$12:$F$19,"QTY",'Технические данные'!$I$12:$I$19))),IF(O22="Ед. × месяц",IF(I22&lt;&gt;"",I22,MAX(1,SUMIF('Технические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22" s="10" t="str">
        <f>IF(D22="","",F22*P22*IF(SUMIF('Технические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22" s="10" t="str">
        <f t="shared" si="1"/>
        <v/>
      </c>
      <c r="S22" s="12" t="str">
        <f t="shared" si="2"/>
        <v/>
      </c>
      <c r="T22" s="9" t="str">
        <f>IF(D22="","",Q22/(Ввод!$B$9*IF(SUMIF('Технические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22" s="5" t="str">
        <f t="shared" si="3"/>
        <v/>
      </c>
      <c r="V22" s="5"/>
    </row>
    <row r="23" spans="1:22" ht="42" customHeight="1" x14ac:dyDescent="0.3">
      <c r="A23" s="6"/>
      <c r="B23" s="5"/>
      <c r="C23" s="5"/>
      <c r="D23" s="5"/>
      <c r="E23" s="5"/>
      <c r="F23" s="7"/>
      <c r="G23" s="21"/>
      <c r="H23" s="6"/>
      <c r="I23" s="8"/>
      <c r="J23" s="8"/>
      <c r="K23" s="9"/>
      <c r="L23" s="10" t="str">
        <f t="shared" si="0"/>
        <v/>
      </c>
      <c r="M23" s="10" t="str">
        <f>IF(D23="","",IF(J23&lt;&gt;"",J23,IFERROR(VLOOKUP(L23,'Справочник ролей'!$A$2:$E$20,4,0),0)))</f>
        <v/>
      </c>
      <c r="N23" s="9" t="str">
        <f>IF(D23="","",IF(K23&lt;&gt;"",K23,IFERROR(VLOOKUP(L23,'Справочник ролей'!$A$2:$E$20,5,0),0)))</f>
        <v/>
      </c>
      <c r="O23" s="11" t="str">
        <f>IF(D23="","",IF(H23&lt;&gt;"Авто",H23,IF(Ввод!$B$10&lt;&gt;"Авто",Ввод!$B$10,IFERROR(VLOOKUP(Ввод!$B$5,'Справочник типов'!$A$2:$I$27,9,0),"Всего"))))</f>
        <v/>
      </c>
      <c r="P23" s="11" t="str">
        <f>IF(D23="","",IF(O23="В месяц",MAX(1,SUMIF('Технические данные'!$F$12:$F$19,"TERM_MONTHS",'Технические данные'!$I$12:$I$19)),IF(O23="На единицу",IF(I23&lt;&gt;"",I23,MAX(1,SUMIF('Технические данные'!$F$12:$F$19,"QTY",'Технические данные'!$I$12:$I$19))),IF(O23="Ед. × месяц",IF(I23&lt;&gt;"",I23,MAX(1,SUMIF('Технические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23" s="10" t="str">
        <f>IF(D23="","",F23*P23*IF(SUMIF('Технические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23" s="10" t="str">
        <f t="shared" si="1"/>
        <v/>
      </c>
      <c r="S23" s="12" t="str">
        <f t="shared" si="2"/>
        <v/>
      </c>
      <c r="T23" s="9" t="str">
        <f>IF(D23="","",Q23/(Ввод!$B$9*IF(SUMIF('Технические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23" s="5" t="str">
        <f t="shared" si="3"/>
        <v/>
      </c>
      <c r="V23" s="5"/>
    </row>
    <row r="24" spans="1:22" ht="42" customHeight="1" x14ac:dyDescent="0.3">
      <c r="A24" s="6"/>
      <c r="B24" s="5"/>
      <c r="C24" s="5"/>
      <c r="D24" s="5"/>
      <c r="E24" s="5"/>
      <c r="F24" s="7"/>
      <c r="G24" s="21"/>
      <c r="H24" s="6"/>
      <c r="I24" s="8"/>
      <c r="J24" s="8"/>
      <c r="K24" s="9"/>
      <c r="L24" s="10" t="str">
        <f t="shared" si="0"/>
        <v/>
      </c>
      <c r="M24" s="10" t="str">
        <f>IF(D24="","",IF(J24&lt;&gt;"",J24,IFERROR(VLOOKUP(L24,'Справочник ролей'!$A$2:$E$20,4,0),0)))</f>
        <v/>
      </c>
      <c r="N24" s="9" t="str">
        <f>IF(D24="","",IF(K24&lt;&gt;"",K24,IFERROR(VLOOKUP(L24,'Справочник ролей'!$A$2:$E$20,5,0),0)))</f>
        <v/>
      </c>
      <c r="O24" s="11" t="str">
        <f>IF(D24="","",IF(H24&lt;&gt;"Авто",H24,IF(Ввод!$B$10&lt;&gt;"Авто",Ввод!$B$10,IFERROR(VLOOKUP(Ввод!$B$5,'Справочник типов'!$A$2:$I$27,9,0),"Всего"))))</f>
        <v/>
      </c>
      <c r="P24" s="11" t="str">
        <f>IF(D24="","",IF(O24="В месяц",MAX(1,SUMIF('Технические данные'!$F$12:$F$19,"TERM_MONTHS",'Технические данные'!$I$12:$I$19)),IF(O24="На единицу",IF(I24&lt;&gt;"",I24,MAX(1,SUMIF('Технические данные'!$F$12:$F$19,"QTY",'Технические данные'!$I$12:$I$19))),IF(O24="Ед. × месяц",IF(I24&lt;&gt;"",I24,MAX(1,SUMIF('Технические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24" s="10" t="str">
        <f>IF(D24="","",F24*P24*IF(SUMIF('Технические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24" s="10" t="str">
        <f t="shared" si="1"/>
        <v/>
      </c>
      <c r="S24" s="12" t="str">
        <f t="shared" si="2"/>
        <v/>
      </c>
      <c r="T24" s="9" t="str">
        <f>IF(D24="","",Q24/(Ввод!$B$9*IF(SUMIF('Технические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24" s="5" t="str">
        <f t="shared" si="3"/>
        <v/>
      </c>
      <c r="V24" s="5"/>
    </row>
    <row r="25" spans="1:22" ht="42" customHeight="1" x14ac:dyDescent="0.3">
      <c r="A25" s="6"/>
      <c r="B25" s="5"/>
      <c r="C25" s="5"/>
      <c r="D25" s="5"/>
      <c r="E25" s="5"/>
      <c r="F25" s="7"/>
      <c r="G25" s="21"/>
      <c r="H25" s="6"/>
      <c r="I25" s="8"/>
      <c r="J25" s="8"/>
      <c r="K25" s="9"/>
      <c r="L25" s="10" t="str">
        <f t="shared" si="0"/>
        <v/>
      </c>
      <c r="M25" s="10" t="str">
        <f>IF(D25="","",IF(J25&lt;&gt;"",J25,IFERROR(VLOOKUP(L25,'Справочник ролей'!$A$2:$E$20,4,0),0)))</f>
        <v/>
      </c>
      <c r="N25" s="9" t="str">
        <f>IF(D25="","",IF(K25&lt;&gt;"",K25,IFERROR(VLOOKUP(L25,'Справочник ролей'!$A$2:$E$20,5,0),0)))</f>
        <v/>
      </c>
      <c r="O25" s="11" t="str">
        <f>IF(D25="","",IF(H25&lt;&gt;"Авто",H25,IF(Ввод!$B$10&lt;&gt;"Авто",Ввод!$B$10,IFERROR(VLOOKUP(Ввод!$B$5,'Справочник типов'!$A$2:$I$27,9,0),"Всего"))))</f>
        <v/>
      </c>
      <c r="P25" s="11" t="str">
        <f>IF(D25="","",IF(O25="В месяц",MAX(1,SUMIF('Технические данные'!$F$12:$F$19,"TERM_MONTHS",'Технические данные'!$I$12:$I$19)),IF(O25="На единицу",IF(I25&lt;&gt;"",I25,MAX(1,SUMIF('Технические данные'!$F$12:$F$19,"QTY",'Технические данные'!$I$12:$I$19))),IF(O25="Ед. × месяц",IF(I25&lt;&gt;"",I25,MAX(1,SUMIF('Технические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25" s="10" t="str">
        <f>IF(D25="","",F25*P25*IF(SUMIF('Технические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25" s="10" t="str">
        <f t="shared" si="1"/>
        <v/>
      </c>
      <c r="S25" s="12" t="str">
        <f t="shared" si="2"/>
        <v/>
      </c>
      <c r="T25" s="9" t="str">
        <f>IF(D25="","",Q25/(Ввод!$B$9*IF(SUMIF('Технические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25" s="5" t="str">
        <f t="shared" si="3"/>
        <v/>
      </c>
      <c r="V25" s="5"/>
    </row>
    <row r="26" spans="1:22" ht="42" customHeight="1" x14ac:dyDescent="0.3">
      <c r="A26" s="6"/>
      <c r="B26" s="5"/>
      <c r="C26" s="5"/>
      <c r="D26" s="5"/>
      <c r="E26" s="5"/>
      <c r="F26" s="7"/>
      <c r="G26" s="21"/>
      <c r="H26" s="6"/>
      <c r="I26" s="8"/>
      <c r="J26" s="8"/>
      <c r="K26" s="9"/>
      <c r="L26" s="10" t="str">
        <f t="shared" si="0"/>
        <v/>
      </c>
      <c r="M26" s="10" t="str">
        <f>IF(D26="","",IF(J26&lt;&gt;"",J26,IFERROR(VLOOKUP(L26,'Справочник ролей'!$A$2:$E$20,4,0),0)))</f>
        <v/>
      </c>
      <c r="N26" s="9" t="str">
        <f>IF(D26="","",IF(K26&lt;&gt;"",K26,IFERROR(VLOOKUP(L26,'Справочник ролей'!$A$2:$E$20,5,0),0)))</f>
        <v/>
      </c>
      <c r="O26" s="11" t="str">
        <f>IF(D26="","",IF(H26&lt;&gt;"Авто",H26,IF(Ввод!$B$10&lt;&gt;"Авто",Ввод!$B$10,IFERROR(VLOOKUP(Ввод!$B$5,'Справочник типов'!$A$2:$I$27,9,0),"Всего"))))</f>
        <v/>
      </c>
      <c r="P26" s="11" t="str">
        <f>IF(D26="","",IF(O26="В месяц",MAX(1,SUMIF('Технические данные'!$F$12:$F$19,"TERM_MONTHS",'Технические данные'!$I$12:$I$19)),IF(O26="На единицу",IF(I26&lt;&gt;"",I26,MAX(1,SUMIF('Технические данные'!$F$12:$F$19,"QTY",'Технические данные'!$I$12:$I$19))),IF(O26="Ед. × месяц",IF(I26&lt;&gt;"",I26,MAX(1,SUMIF('Технические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26" s="10" t="str">
        <f>IF(D26="","",F26*P26*IF(SUMIF('Технические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26" s="10" t="str">
        <f t="shared" si="1"/>
        <v/>
      </c>
      <c r="S26" s="12" t="str">
        <f t="shared" si="2"/>
        <v/>
      </c>
      <c r="T26" s="9" t="str">
        <f>IF(D26="","",Q26/(Ввод!$B$9*IF(SUMIF('Технические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26" s="5" t="str">
        <f t="shared" si="3"/>
        <v/>
      </c>
      <c r="V26" s="5"/>
    </row>
    <row r="27" spans="1:22" ht="42" customHeight="1" x14ac:dyDescent="0.3">
      <c r="A27" s="6"/>
      <c r="B27" s="5"/>
      <c r="C27" s="5"/>
      <c r="D27" s="5"/>
      <c r="E27" s="5"/>
      <c r="F27" s="7"/>
      <c r="G27" s="21"/>
      <c r="H27" s="6"/>
      <c r="I27" s="8"/>
      <c r="J27" s="8"/>
      <c r="K27" s="9"/>
      <c r="L27" s="10" t="str">
        <f t="shared" si="0"/>
        <v/>
      </c>
      <c r="M27" s="10" t="str">
        <f>IF(D27="","",IF(J27&lt;&gt;"",J27,IFERROR(VLOOKUP(L27,'Справочник ролей'!$A$2:$E$20,4,0),0)))</f>
        <v/>
      </c>
      <c r="N27" s="9" t="str">
        <f>IF(D27="","",IF(K27&lt;&gt;"",K27,IFERROR(VLOOKUP(L27,'Справочник ролей'!$A$2:$E$20,5,0),0)))</f>
        <v/>
      </c>
      <c r="O27" s="11" t="str">
        <f>IF(D27="","",IF(H27&lt;&gt;"Авто",H27,IF(Ввод!$B$10&lt;&gt;"Авто",Ввод!$B$10,IFERROR(VLOOKUP(Ввод!$B$5,'Справочник типов'!$A$2:$I$27,9,0),"Всего"))))</f>
        <v/>
      </c>
      <c r="P27" s="11" t="str">
        <f>IF(D27="","",IF(O27="В месяц",MAX(1,SUMIF('Технические данные'!$F$12:$F$19,"TERM_MONTHS",'Технические данные'!$I$12:$I$19)),IF(O27="На единицу",IF(I27&lt;&gt;"",I27,MAX(1,SUMIF('Технические данные'!$F$12:$F$19,"QTY",'Технические данные'!$I$12:$I$19))),IF(O27="Ед. × месяц",IF(I27&lt;&gt;"",I27,MAX(1,SUMIF('Технические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27" s="10" t="str">
        <f>IF(D27="","",F27*P27*IF(SUMIF('Технические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27" s="10" t="str">
        <f t="shared" si="1"/>
        <v/>
      </c>
      <c r="S27" s="12" t="str">
        <f t="shared" si="2"/>
        <v/>
      </c>
      <c r="T27" s="9" t="str">
        <f>IF(D27="","",Q27/(Ввод!$B$9*IF(SUMIF('Технические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27" s="5" t="str">
        <f t="shared" si="3"/>
        <v/>
      </c>
      <c r="V27" s="5"/>
    </row>
    <row r="28" spans="1:22" ht="42" customHeight="1" x14ac:dyDescent="0.3">
      <c r="A28" s="6"/>
      <c r="B28" s="5"/>
      <c r="C28" s="5"/>
      <c r="D28" s="5"/>
      <c r="E28" s="5"/>
      <c r="F28" s="7"/>
      <c r="G28" s="21"/>
      <c r="H28" s="6"/>
      <c r="I28" s="8"/>
      <c r="J28" s="8"/>
      <c r="K28" s="9"/>
      <c r="L28" s="10" t="str">
        <f t="shared" si="0"/>
        <v/>
      </c>
      <c r="M28" s="10" t="str">
        <f>IF(D28="","",IF(J28&lt;&gt;"",J28,IFERROR(VLOOKUP(L28,'Справочник ролей'!$A$2:$E$20,4,0),0)))</f>
        <v/>
      </c>
      <c r="N28" s="9" t="str">
        <f>IF(D28="","",IF(K28&lt;&gt;"",K28,IFERROR(VLOOKUP(L28,'Справочник ролей'!$A$2:$E$20,5,0),0)))</f>
        <v/>
      </c>
      <c r="O28" s="11" t="str">
        <f>IF(D28="","",IF(H28&lt;&gt;"Авто",H28,IF(Ввод!$B$10&lt;&gt;"Авто",Ввод!$B$10,IFERROR(VLOOKUP(Ввод!$B$5,'Справочник типов'!$A$2:$I$27,9,0),"Всего"))))</f>
        <v/>
      </c>
      <c r="P28" s="11" t="str">
        <f>IF(D28="","",IF(O28="В месяц",MAX(1,SUMIF('Технические данные'!$F$12:$F$19,"TERM_MONTHS",'Технические данные'!$I$12:$I$19)),IF(O28="На единицу",IF(I28&lt;&gt;"",I28,MAX(1,SUMIF('Технические данные'!$F$12:$F$19,"QTY",'Технические данные'!$I$12:$I$19))),IF(O28="Ед. × месяц",IF(I28&lt;&gt;"",I28,MAX(1,SUMIF('Технические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28" s="10" t="str">
        <f>IF(D28="","",F28*P28*IF(SUMIF('Технические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28" s="10" t="str">
        <f t="shared" si="1"/>
        <v/>
      </c>
      <c r="S28" s="12" t="str">
        <f t="shared" si="2"/>
        <v/>
      </c>
      <c r="T28" s="9" t="str">
        <f>IF(D28="","",Q28/(Ввод!$B$9*IF(SUMIF('Технические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28" s="5" t="str">
        <f t="shared" si="3"/>
        <v/>
      </c>
      <c r="V28" s="5"/>
    </row>
    <row r="29" spans="1:22" ht="42" customHeight="1" x14ac:dyDescent="0.3">
      <c r="A29" s="6"/>
      <c r="B29" s="5"/>
      <c r="C29" s="5"/>
      <c r="D29" s="5"/>
      <c r="E29" s="5"/>
      <c r="F29" s="7"/>
      <c r="G29" s="21"/>
      <c r="H29" s="6"/>
      <c r="I29" s="8"/>
      <c r="J29" s="8"/>
      <c r="K29" s="9"/>
      <c r="L29" s="10" t="str">
        <f t="shared" si="0"/>
        <v/>
      </c>
      <c r="M29" s="10" t="str">
        <f>IF(D29="","",IF(J29&lt;&gt;"",J29,IFERROR(VLOOKUP(L29,'Справочник ролей'!$A$2:$E$20,4,0),0)))</f>
        <v/>
      </c>
      <c r="N29" s="9" t="str">
        <f>IF(D29="","",IF(K29&lt;&gt;"",K29,IFERROR(VLOOKUP(L29,'Справочник ролей'!$A$2:$E$20,5,0),0)))</f>
        <v/>
      </c>
      <c r="O29" s="11" t="str">
        <f>IF(D29="","",IF(H29&lt;&gt;"Авто",H29,IF(Ввод!$B$10&lt;&gt;"Авто",Ввод!$B$10,IFERROR(VLOOKUP(Ввод!$B$5,'Справочник типов'!$A$2:$I$27,9,0),"Всего"))))</f>
        <v/>
      </c>
      <c r="P29" s="11" t="str">
        <f>IF(D29="","",IF(O29="В месяц",MAX(1,SUMIF('Технические данные'!$F$12:$F$19,"TERM_MONTHS",'Технические данные'!$I$12:$I$19)),IF(O29="На единицу",IF(I29&lt;&gt;"",I29,MAX(1,SUMIF('Технические данные'!$F$12:$F$19,"QTY",'Технические данные'!$I$12:$I$19))),IF(O29="Ед. × месяц",IF(I29&lt;&gt;"",I29,MAX(1,SUMIF('Технические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29" s="10" t="str">
        <f>IF(D29="","",F29*P29*IF(SUMIF('Технические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29" s="10" t="str">
        <f t="shared" si="1"/>
        <v/>
      </c>
      <c r="S29" s="12" t="str">
        <f t="shared" si="2"/>
        <v/>
      </c>
      <c r="T29" s="9" t="str">
        <f>IF(D29="","",Q29/(Ввод!$B$9*IF(SUMIF('Технические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29" s="5" t="str">
        <f t="shared" si="3"/>
        <v/>
      </c>
      <c r="V29" s="5"/>
    </row>
    <row r="30" spans="1:22" ht="42" customHeight="1" x14ac:dyDescent="0.3">
      <c r="A30" s="6"/>
      <c r="B30" s="5"/>
      <c r="C30" s="5"/>
      <c r="D30" s="5"/>
      <c r="E30" s="5"/>
      <c r="F30" s="7"/>
      <c r="G30" s="21"/>
      <c r="H30" s="6"/>
      <c r="I30" s="8"/>
      <c r="J30" s="8"/>
      <c r="K30" s="9"/>
      <c r="L30" s="10" t="str">
        <f t="shared" si="0"/>
        <v/>
      </c>
      <c r="M30" s="10" t="str">
        <f>IF(D30="","",IF(J30&lt;&gt;"",J30,IFERROR(VLOOKUP(L30,'Справочник ролей'!$A$2:$E$20,4,0),0)))</f>
        <v/>
      </c>
      <c r="N30" s="9" t="str">
        <f>IF(D30="","",IF(K30&lt;&gt;"",K30,IFERROR(VLOOKUP(L30,'Справочник ролей'!$A$2:$E$20,5,0),0)))</f>
        <v/>
      </c>
      <c r="O30" s="11" t="str">
        <f>IF(D30="","",IF(H30&lt;&gt;"Авто",H30,IF(Ввод!$B$10&lt;&gt;"Авто",Ввод!$B$10,IFERROR(VLOOKUP(Ввод!$B$5,'Справочник типов'!$A$2:$I$27,9,0),"Всего"))))</f>
        <v/>
      </c>
      <c r="P30" s="11" t="str">
        <f>IF(D30="","",IF(O30="В месяц",MAX(1,SUMIF('Технические данные'!$F$12:$F$19,"TERM_MONTHS",'Технические данные'!$I$12:$I$19)),IF(O30="На единицу",IF(I30&lt;&gt;"",I30,MAX(1,SUMIF('Технические данные'!$F$12:$F$19,"QTY",'Технические данные'!$I$12:$I$19))),IF(O30="Ед. × месяц",IF(I30&lt;&gt;"",I30,MAX(1,SUMIF('Технические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30" s="10" t="str">
        <f>IF(D30="","",F30*P30*IF(SUMIF('Технические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30" s="10" t="str">
        <f t="shared" si="1"/>
        <v/>
      </c>
      <c r="S30" s="12" t="str">
        <f t="shared" si="2"/>
        <v/>
      </c>
      <c r="T30" s="9" t="str">
        <f>IF(D30="","",Q30/(Ввод!$B$9*IF(SUMIF('Технические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30" s="5" t="str">
        <f t="shared" si="3"/>
        <v/>
      </c>
      <c r="V30" s="5"/>
    </row>
    <row r="31" spans="1:22" ht="42" customHeight="1" x14ac:dyDescent="0.3">
      <c r="A31" s="6"/>
      <c r="B31" s="5"/>
      <c r="C31" s="5"/>
      <c r="D31" s="5"/>
      <c r="E31" s="5"/>
      <c r="F31" s="7"/>
      <c r="G31" s="21"/>
      <c r="H31" s="6"/>
      <c r="I31" s="8"/>
      <c r="J31" s="8"/>
      <c r="K31" s="9"/>
      <c r="L31" s="10" t="str">
        <f t="shared" si="0"/>
        <v/>
      </c>
      <c r="M31" s="10" t="str">
        <f>IF(D31="","",IF(J31&lt;&gt;"",J31,IFERROR(VLOOKUP(L31,'Справочник ролей'!$A$2:$E$20,4,0),0)))</f>
        <v/>
      </c>
      <c r="N31" s="9" t="str">
        <f>IF(D31="","",IF(K31&lt;&gt;"",K31,IFERROR(VLOOKUP(L31,'Справочник ролей'!$A$2:$E$20,5,0),0)))</f>
        <v/>
      </c>
      <c r="O31" s="11" t="str">
        <f>IF(D31="","",IF(H31&lt;&gt;"Авто",H31,IF(Ввод!$B$10&lt;&gt;"Авто",Ввод!$B$10,IFERROR(VLOOKUP(Ввод!$B$5,'Справочник типов'!$A$2:$I$27,9,0),"Всего"))))</f>
        <v/>
      </c>
      <c r="P31" s="11" t="str">
        <f>IF(D31="","",IF(O31="В месяц",MAX(1,SUMIF('Технические данные'!$F$12:$F$19,"TERM_MONTHS",'Технические данные'!$I$12:$I$19)),IF(O31="На единицу",IF(I31&lt;&gt;"",I31,MAX(1,SUMIF('Технические данные'!$F$12:$F$19,"QTY",'Технические данные'!$I$12:$I$19))),IF(O31="Ед. × месяц",IF(I31&lt;&gt;"",I31,MAX(1,SUMIF('Технические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31" s="10" t="str">
        <f>IF(D31="","",F31*P31*IF(SUMIF('Технические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31" s="10" t="str">
        <f t="shared" si="1"/>
        <v/>
      </c>
      <c r="S31" s="12" t="str">
        <f t="shared" si="2"/>
        <v/>
      </c>
      <c r="T31" s="9" t="str">
        <f>IF(D31="","",Q31/(Ввод!$B$9*IF(SUMIF('Технические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31" s="5" t="str">
        <f t="shared" si="3"/>
        <v/>
      </c>
      <c r="V31" s="5"/>
    </row>
    <row r="32" spans="1:22" ht="42" customHeight="1" x14ac:dyDescent="0.3">
      <c r="A32" s="6"/>
      <c r="B32" s="5"/>
      <c r="C32" s="5"/>
      <c r="D32" s="5"/>
      <c r="E32" s="5"/>
      <c r="F32" s="7"/>
      <c r="G32" s="21"/>
      <c r="H32" s="6"/>
      <c r="I32" s="8"/>
      <c r="J32" s="8"/>
      <c r="K32" s="9"/>
      <c r="L32" s="10" t="str">
        <f t="shared" si="0"/>
        <v/>
      </c>
      <c r="M32" s="10" t="str">
        <f>IF(D32="","",IF(J32&lt;&gt;"",J32,IFERROR(VLOOKUP(L32,'Справочник ролей'!$A$2:$E$20,4,0),0)))</f>
        <v/>
      </c>
      <c r="N32" s="9" t="str">
        <f>IF(D32="","",IF(K32&lt;&gt;"",K32,IFERROR(VLOOKUP(L32,'Справочник ролей'!$A$2:$E$20,5,0),0)))</f>
        <v/>
      </c>
      <c r="O32" s="11" t="str">
        <f>IF(D32="","",IF(H32&lt;&gt;"Авто",H32,IF(Ввод!$B$10&lt;&gt;"Авто",Ввод!$B$10,IFERROR(VLOOKUP(Ввод!$B$5,'Справочник типов'!$A$2:$I$27,9,0),"Всего"))))</f>
        <v/>
      </c>
      <c r="P32" s="11" t="str">
        <f>IF(D32="","",IF(O32="В месяц",MAX(1,SUMIF('Технические данные'!$F$12:$F$19,"TERM_MONTHS",'Технические данные'!$I$12:$I$19)),IF(O32="На единицу",IF(I32&lt;&gt;"",I32,MAX(1,SUMIF('Технические данные'!$F$12:$F$19,"QTY",'Технические данные'!$I$12:$I$19))),IF(O32="Ед. × месяц",IF(I32&lt;&gt;"",I32,MAX(1,SUMIF('Технические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32" s="10" t="str">
        <f>IF(D32="","",F32*P32*IF(SUMIF('Технические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32" s="10" t="str">
        <f t="shared" si="1"/>
        <v/>
      </c>
      <c r="S32" s="12" t="str">
        <f t="shared" si="2"/>
        <v/>
      </c>
      <c r="T32" s="9" t="str">
        <f>IF(D32="","",Q32/(Ввод!$B$9*IF(SUMIF('Технические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32" s="5" t="str">
        <f t="shared" si="3"/>
        <v/>
      </c>
      <c r="V32" s="5"/>
    </row>
    <row r="33" spans="1:22" ht="42" customHeight="1" x14ac:dyDescent="0.3">
      <c r="A33" s="6"/>
      <c r="B33" s="5"/>
      <c r="C33" s="5"/>
      <c r="D33" s="5"/>
      <c r="E33" s="5"/>
      <c r="F33" s="7"/>
      <c r="G33" s="21"/>
      <c r="H33" s="6"/>
      <c r="I33" s="8"/>
      <c r="J33" s="8"/>
      <c r="K33" s="9"/>
      <c r="L33" s="10" t="str">
        <f t="shared" si="0"/>
        <v/>
      </c>
      <c r="M33" s="10" t="str">
        <f>IF(D33="","",IF(J33&lt;&gt;"",J33,IFERROR(VLOOKUP(L33,'Справочник ролей'!$A$2:$E$20,4,0),0)))</f>
        <v/>
      </c>
      <c r="N33" s="9" t="str">
        <f>IF(D33="","",IF(K33&lt;&gt;"",K33,IFERROR(VLOOKUP(L33,'Справочник ролей'!$A$2:$E$20,5,0),0)))</f>
        <v/>
      </c>
      <c r="O33" s="11" t="str">
        <f>IF(D33="","",IF(H33&lt;&gt;"Авто",H33,IF(Ввод!$B$10&lt;&gt;"Авто",Ввод!$B$10,IFERROR(VLOOKUP(Ввод!$B$5,'Справочник типов'!$A$2:$I$27,9,0),"Всего"))))</f>
        <v/>
      </c>
      <c r="P33" s="11" t="str">
        <f>IF(D33="","",IF(O33="В месяц",MAX(1,SUMIF('Технические данные'!$F$12:$F$19,"TERM_MONTHS",'Технические данные'!$I$12:$I$19)),IF(O33="На единицу",IF(I33&lt;&gt;"",I33,MAX(1,SUMIF('Технические данные'!$F$12:$F$19,"QTY",'Технические данные'!$I$12:$I$19))),IF(O33="Ед. × месяц",IF(I33&lt;&gt;"",I33,MAX(1,SUMIF('Технические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33" s="10" t="str">
        <f>IF(D33="","",F33*P33*IF(SUMIF('Технические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33" s="10" t="str">
        <f t="shared" si="1"/>
        <v/>
      </c>
      <c r="S33" s="12" t="str">
        <f t="shared" si="2"/>
        <v/>
      </c>
      <c r="T33" s="9" t="str">
        <f>IF(D33="","",Q33/(Ввод!$B$9*IF(SUMIF('Технические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33" s="5" t="str">
        <f t="shared" si="3"/>
        <v/>
      </c>
      <c r="V33" s="5"/>
    </row>
    <row r="34" spans="1:22" ht="42" customHeight="1" x14ac:dyDescent="0.3">
      <c r="A34" s="6"/>
      <c r="B34" s="5"/>
      <c r="C34" s="5"/>
      <c r="D34" s="5"/>
      <c r="E34" s="5"/>
      <c r="F34" s="7"/>
      <c r="G34" s="21"/>
      <c r="H34" s="6"/>
      <c r="I34" s="8"/>
      <c r="J34" s="8"/>
      <c r="K34" s="9"/>
      <c r="L34" s="10" t="str">
        <f t="shared" si="0"/>
        <v/>
      </c>
      <c r="M34" s="10" t="str">
        <f>IF(D34="","",IF(J34&lt;&gt;"",J34,IFERROR(VLOOKUP(L34,'Справочник ролей'!$A$2:$E$20,4,0),0)))</f>
        <v/>
      </c>
      <c r="N34" s="9" t="str">
        <f>IF(D34="","",IF(K34&lt;&gt;"",K34,IFERROR(VLOOKUP(L34,'Справочник ролей'!$A$2:$E$20,5,0),0)))</f>
        <v/>
      </c>
      <c r="O34" s="11" t="str">
        <f>IF(D34="","",IF(H34&lt;&gt;"Авто",H34,IF(Ввод!$B$10&lt;&gt;"Авто",Ввод!$B$10,IFERROR(VLOOKUP(Ввод!$B$5,'Справочник типов'!$A$2:$I$27,9,0),"Всего"))))</f>
        <v/>
      </c>
      <c r="P34" s="11" t="str">
        <f>IF(D34="","",IF(O34="В месяц",MAX(1,SUMIF('Технические данные'!$F$12:$F$19,"TERM_MONTHS",'Технические данные'!$I$12:$I$19)),IF(O34="На единицу",IF(I34&lt;&gt;"",I34,MAX(1,SUMIF('Технические данные'!$F$12:$F$19,"QTY",'Технические данные'!$I$12:$I$19))),IF(O34="Ед. × месяц",IF(I34&lt;&gt;"",I34,MAX(1,SUMIF('Технические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34" s="10" t="str">
        <f>IF(D34="","",F34*P34*IF(SUMIF('Технические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34" s="10" t="str">
        <f t="shared" si="1"/>
        <v/>
      </c>
      <c r="S34" s="12" t="str">
        <f t="shared" si="2"/>
        <v/>
      </c>
      <c r="T34" s="9" t="str">
        <f>IF(D34="","",Q34/(Ввод!$B$9*IF(SUMIF('Технические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34" s="5" t="str">
        <f t="shared" si="3"/>
        <v/>
      </c>
      <c r="V34" s="5"/>
    </row>
    <row r="35" spans="1:22" ht="42" customHeight="1" x14ac:dyDescent="0.3">
      <c r="A35" s="6"/>
      <c r="B35" s="5"/>
      <c r="C35" s="5"/>
      <c r="D35" s="5"/>
      <c r="E35" s="5"/>
      <c r="F35" s="7"/>
      <c r="G35" s="21"/>
      <c r="H35" s="6"/>
      <c r="I35" s="8"/>
      <c r="J35" s="8"/>
      <c r="K35" s="9"/>
      <c r="L35" s="10" t="str">
        <f t="shared" si="0"/>
        <v/>
      </c>
      <c r="M35" s="10" t="str">
        <f>IF(D35="","",IF(J35&lt;&gt;"",J35,IFERROR(VLOOKUP(L35,'Справочник ролей'!$A$2:$E$20,4,0),0)))</f>
        <v/>
      </c>
      <c r="N35" s="9" t="str">
        <f>IF(D35="","",IF(K35&lt;&gt;"",K35,IFERROR(VLOOKUP(L35,'Справочник ролей'!$A$2:$E$20,5,0),0)))</f>
        <v/>
      </c>
      <c r="O35" s="11" t="str">
        <f>IF(D35="","",IF(H35&lt;&gt;"Авто",H35,IF(Ввод!$B$10&lt;&gt;"Авто",Ввод!$B$10,IFERROR(VLOOKUP(Ввод!$B$5,'Справочник типов'!$A$2:$I$27,9,0),"Всего"))))</f>
        <v/>
      </c>
      <c r="P35" s="11" t="str">
        <f>IF(D35="","",IF(O35="В месяц",MAX(1,SUMIF('Технические данные'!$F$12:$F$19,"TERM_MONTHS",'Технические данные'!$I$12:$I$19)),IF(O35="На единицу",IF(I35&lt;&gt;"",I35,MAX(1,SUMIF('Технические данные'!$F$12:$F$19,"QTY",'Технические данные'!$I$12:$I$19))),IF(O35="Ед. × месяц",IF(I35&lt;&gt;"",I35,MAX(1,SUMIF('Технические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35" s="10" t="str">
        <f>IF(D35="","",F35*P35*IF(SUMIF('Технические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35" s="10" t="str">
        <f t="shared" si="1"/>
        <v/>
      </c>
      <c r="S35" s="12" t="str">
        <f t="shared" si="2"/>
        <v/>
      </c>
      <c r="T35" s="9" t="str">
        <f>IF(D35="","",Q35/(Ввод!$B$9*IF(SUMIF('Технические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35" s="5" t="str">
        <f t="shared" si="3"/>
        <v/>
      </c>
      <c r="V35" s="5"/>
    </row>
    <row r="36" spans="1:22" ht="42" customHeight="1" x14ac:dyDescent="0.3">
      <c r="A36" s="6"/>
      <c r="B36" s="5"/>
      <c r="C36" s="5"/>
      <c r="D36" s="5"/>
      <c r="E36" s="5"/>
      <c r="F36" s="7"/>
      <c r="G36" s="21"/>
      <c r="H36" s="6"/>
      <c r="I36" s="8"/>
      <c r="J36" s="8"/>
      <c r="K36" s="9"/>
      <c r="L36" s="10" t="str">
        <f t="shared" si="0"/>
        <v/>
      </c>
      <c r="M36" s="10" t="str">
        <f>IF(D36="","",IF(J36&lt;&gt;"",J36,IFERROR(VLOOKUP(L36,'Справочник ролей'!$A$2:$E$20,4,0),0)))</f>
        <v/>
      </c>
      <c r="N36" s="9" t="str">
        <f>IF(D36="","",IF(K36&lt;&gt;"",K36,IFERROR(VLOOKUP(L36,'Справочник ролей'!$A$2:$E$20,5,0),0)))</f>
        <v/>
      </c>
      <c r="O36" s="11" t="str">
        <f>IF(D36="","",IF(H36&lt;&gt;"Авто",H36,IF(Ввод!$B$10&lt;&gt;"Авто",Ввод!$B$10,IFERROR(VLOOKUP(Ввод!$B$5,'Справочник типов'!$A$2:$I$27,9,0),"Всего"))))</f>
        <v/>
      </c>
      <c r="P36" s="11" t="str">
        <f>IF(D36="","",IF(O36="В месяц",MAX(1,SUMIF('Технические данные'!$F$12:$F$19,"TERM_MONTHS",'Технические данные'!$I$12:$I$19)),IF(O36="На единицу",IF(I36&lt;&gt;"",I36,MAX(1,SUMIF('Технические данные'!$F$12:$F$19,"QTY",'Технические данные'!$I$12:$I$19))),IF(O36="Ед. × месяц",IF(I36&lt;&gt;"",I36,MAX(1,SUMIF('Технические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36" s="10" t="str">
        <f>IF(D36="","",F36*P36*IF(SUMIF('Технические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36" s="10" t="str">
        <f t="shared" si="1"/>
        <v/>
      </c>
      <c r="S36" s="12" t="str">
        <f t="shared" si="2"/>
        <v/>
      </c>
      <c r="T36" s="9" t="str">
        <f>IF(D36="","",Q36/(Ввод!$B$9*IF(SUMIF('Технические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36" s="5" t="str">
        <f t="shared" si="3"/>
        <v/>
      </c>
      <c r="V36" s="5"/>
    </row>
    <row r="37" spans="1:22" ht="42" customHeight="1" x14ac:dyDescent="0.3">
      <c r="A37" s="6"/>
      <c r="B37" s="5"/>
      <c r="C37" s="5"/>
      <c r="D37" s="5"/>
      <c r="E37" s="5"/>
      <c r="F37" s="7"/>
      <c r="G37" s="21"/>
      <c r="H37" s="6"/>
      <c r="I37" s="8"/>
      <c r="J37" s="8"/>
      <c r="K37" s="9"/>
      <c r="L37" s="10" t="str">
        <f t="shared" si="0"/>
        <v/>
      </c>
      <c r="M37" s="10" t="str">
        <f>IF(D37="","",IF(J37&lt;&gt;"",J37,IFERROR(VLOOKUP(L37,'Справочник ролей'!$A$2:$E$20,4,0),0)))</f>
        <v/>
      </c>
      <c r="N37" s="9" t="str">
        <f>IF(D37="","",IF(K37&lt;&gt;"",K37,IFERROR(VLOOKUP(L37,'Справочник ролей'!$A$2:$E$20,5,0),0)))</f>
        <v/>
      </c>
      <c r="O37" s="11" t="str">
        <f>IF(D37="","",IF(H37&lt;&gt;"Авто",H37,IF(Ввод!$B$10&lt;&gt;"Авто",Ввод!$B$10,IFERROR(VLOOKUP(Ввод!$B$5,'Справочник типов'!$A$2:$I$27,9,0),"Всего"))))</f>
        <v/>
      </c>
      <c r="P37" s="11" t="str">
        <f>IF(D37="","",IF(O37="В месяц",MAX(1,SUMIF('Технические данные'!$F$12:$F$19,"TERM_MONTHS",'Технические данные'!$I$12:$I$19)),IF(O37="На единицу",IF(I37&lt;&gt;"",I37,MAX(1,SUMIF('Технические данные'!$F$12:$F$19,"QTY",'Технические данные'!$I$12:$I$19))),IF(O37="Ед. × месяц",IF(I37&lt;&gt;"",I37,MAX(1,SUMIF('Технические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37" s="10" t="str">
        <f>IF(D37="","",F37*P37*IF(SUMIF('Технические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37" s="10" t="str">
        <f t="shared" si="1"/>
        <v/>
      </c>
      <c r="S37" s="12" t="str">
        <f t="shared" si="2"/>
        <v/>
      </c>
      <c r="T37" s="9" t="str">
        <f>IF(D37="","",Q37/(Ввод!$B$9*IF(SUMIF('Технические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37" s="5" t="str">
        <f t="shared" si="3"/>
        <v/>
      </c>
      <c r="V37" s="5"/>
    </row>
    <row r="38" spans="1:22" ht="42" customHeight="1" x14ac:dyDescent="0.3">
      <c r="A38" s="6"/>
      <c r="B38" s="5"/>
      <c r="C38" s="5"/>
      <c r="D38" s="5"/>
      <c r="E38" s="5"/>
      <c r="F38" s="7"/>
      <c r="G38" s="21"/>
      <c r="H38" s="6"/>
      <c r="I38" s="8"/>
      <c r="J38" s="8"/>
      <c r="K38" s="9"/>
      <c r="L38" s="10" t="str">
        <f t="shared" ref="L38:L55" si="4">IFERROR(MID(E38,FIND("#",E38)+1,20),"")</f>
        <v/>
      </c>
      <c r="M38" s="10" t="str">
        <f>IF(D38="","",IF(J38&lt;&gt;"",J38,IFERROR(VLOOKUP(L38,'Справочник ролей'!$A$2:$E$20,4,0),0)))</f>
        <v/>
      </c>
      <c r="N38" s="9" t="str">
        <f>IF(D38="","",IF(K38&lt;&gt;"",K38,IFERROR(VLOOKUP(L38,'Справочник ролей'!$A$2:$E$20,5,0),0)))</f>
        <v/>
      </c>
      <c r="O38" s="11" t="str">
        <f>IF(D38="","",IF(H38&lt;&gt;"Авто",H38,IF(Ввод!$B$10&lt;&gt;"Авто",Ввод!$B$10,IFERROR(VLOOKUP(Ввод!$B$5,'Справочник типов'!$A$2:$I$27,9,0),"Всего"))))</f>
        <v/>
      </c>
      <c r="P38" s="11" t="str">
        <f>IF(D38="","",IF(O38="В месяц",MAX(1,SUMIF('Технические данные'!$F$12:$F$19,"TERM_MONTHS",'Технические данные'!$I$12:$I$19)),IF(O38="На единицу",IF(I38&lt;&gt;"",I38,MAX(1,SUMIF('Технические данные'!$F$12:$F$19,"QTY",'Технические данные'!$I$12:$I$19))),IF(O38="Ед. × месяц",IF(I38&lt;&gt;"",I38,MAX(1,SUMIF('Технические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38" s="10" t="str">
        <f>IF(D38="","",F38*P38*IF(SUMIF('Технические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38" s="10" t="str">
        <f t="shared" ref="R38:R69" si="5">IF(D38="","",Q38*M38)</f>
        <v/>
      </c>
      <c r="S38" s="12" t="str">
        <f t="shared" ref="S38:S55" si="6">IF(D38="","",Q38*N38)</f>
        <v/>
      </c>
      <c r="T38" s="9" t="str">
        <f>IF(D38="","",Q38/(Ввод!$B$9*IF(SUMIF('Технические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38" s="5" t="str">
        <f t="shared" ref="U38:U55" si="7">IF(D38="","",IF(F38&lt;=0,"ПРОВЕРИТЬ ЧАСЫ",IF(AND(M38=0,N38=0),"ПРОВЕРИТЬ СТАВКУ","OK")))</f>
        <v/>
      </c>
      <c r="V38" s="5"/>
    </row>
    <row r="39" spans="1:22" ht="42" customHeight="1" x14ac:dyDescent="0.3">
      <c r="A39" s="6"/>
      <c r="B39" s="5"/>
      <c r="C39" s="5"/>
      <c r="D39" s="5"/>
      <c r="E39" s="5"/>
      <c r="F39" s="7"/>
      <c r="G39" s="21"/>
      <c r="H39" s="6"/>
      <c r="I39" s="8"/>
      <c r="J39" s="8"/>
      <c r="K39" s="9"/>
      <c r="L39" s="10" t="str">
        <f t="shared" si="4"/>
        <v/>
      </c>
      <c r="M39" s="10" t="str">
        <f>IF(D39="","",IF(J39&lt;&gt;"",J39,IFERROR(VLOOKUP(L39,'Справочник ролей'!$A$2:$E$20,4,0),0)))</f>
        <v/>
      </c>
      <c r="N39" s="9" t="str">
        <f>IF(D39="","",IF(K39&lt;&gt;"",K39,IFERROR(VLOOKUP(L39,'Справочник ролей'!$A$2:$E$20,5,0),0)))</f>
        <v/>
      </c>
      <c r="O39" s="11" t="str">
        <f>IF(D39="","",IF(H39&lt;&gt;"Авто",H39,IF(Ввод!$B$10&lt;&gt;"Авто",Ввод!$B$10,IFERROR(VLOOKUP(Ввод!$B$5,'Справочник типов'!$A$2:$I$27,9,0),"Всего"))))</f>
        <v/>
      </c>
      <c r="P39" s="11" t="str">
        <f>IF(D39="","",IF(O39="В месяц",MAX(1,SUMIF('Технические данные'!$F$12:$F$19,"TERM_MONTHS",'Технические данные'!$I$12:$I$19)),IF(O39="На единицу",IF(I39&lt;&gt;"",I39,MAX(1,SUMIF('Технические данные'!$F$12:$F$19,"QTY",'Технические данные'!$I$12:$I$19))),IF(O39="Ед. × месяц",IF(I39&lt;&gt;"",I39,MAX(1,SUMIF('Технические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39" s="10" t="str">
        <f>IF(D39="","",F39*P39*IF(SUMIF('Технические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39" s="10" t="str">
        <f t="shared" si="5"/>
        <v/>
      </c>
      <c r="S39" s="12" t="str">
        <f t="shared" si="6"/>
        <v/>
      </c>
      <c r="T39" s="9" t="str">
        <f>IF(D39="","",Q39/(Ввод!$B$9*IF(SUMIF('Технические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39" s="5" t="str">
        <f t="shared" si="7"/>
        <v/>
      </c>
      <c r="V39" s="5"/>
    </row>
    <row r="40" spans="1:22" ht="42" customHeight="1" x14ac:dyDescent="0.3">
      <c r="A40" s="6"/>
      <c r="B40" s="5"/>
      <c r="C40" s="5"/>
      <c r="D40" s="5"/>
      <c r="E40" s="5"/>
      <c r="F40" s="7"/>
      <c r="G40" s="21"/>
      <c r="H40" s="6"/>
      <c r="I40" s="8"/>
      <c r="J40" s="8"/>
      <c r="K40" s="9"/>
      <c r="L40" s="10" t="str">
        <f t="shared" si="4"/>
        <v/>
      </c>
      <c r="M40" s="10" t="str">
        <f>IF(D40="","",IF(J40&lt;&gt;"",J40,IFERROR(VLOOKUP(L40,'Справочник ролей'!$A$2:$E$20,4,0),0)))</f>
        <v/>
      </c>
      <c r="N40" s="9" t="str">
        <f>IF(D40="","",IF(K40&lt;&gt;"",K40,IFERROR(VLOOKUP(L40,'Справочник ролей'!$A$2:$E$20,5,0),0)))</f>
        <v/>
      </c>
      <c r="O40" s="11" t="str">
        <f>IF(D40="","",IF(H40&lt;&gt;"Авто",H40,IF(Ввод!$B$10&lt;&gt;"Авто",Ввод!$B$10,IFERROR(VLOOKUP(Ввод!$B$5,'Справочник типов'!$A$2:$I$27,9,0),"Всего"))))</f>
        <v/>
      </c>
      <c r="P40" s="11" t="str">
        <f>IF(D40="","",IF(O40="В месяц",MAX(1,SUMIF('Технические данные'!$F$12:$F$19,"TERM_MONTHS",'Технические данные'!$I$12:$I$19)),IF(O40="На единицу",IF(I40&lt;&gt;"",I40,MAX(1,SUMIF('Технические данные'!$F$12:$F$19,"QTY",'Технические данные'!$I$12:$I$19))),IF(O40="Ед. × месяц",IF(I40&lt;&gt;"",I40,MAX(1,SUMIF('Технические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40" s="10" t="str">
        <f>IF(D40="","",F40*P40*IF(SUMIF('Технические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40" s="10" t="str">
        <f t="shared" si="5"/>
        <v/>
      </c>
      <c r="S40" s="12" t="str">
        <f t="shared" si="6"/>
        <v/>
      </c>
      <c r="T40" s="9" t="str">
        <f>IF(D40="","",Q40/(Ввод!$B$9*IF(SUMIF('Технические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40" s="5" t="str">
        <f t="shared" si="7"/>
        <v/>
      </c>
      <c r="V40" s="5"/>
    </row>
    <row r="41" spans="1:22" ht="42" customHeight="1" x14ac:dyDescent="0.3">
      <c r="A41" s="6"/>
      <c r="B41" s="5"/>
      <c r="C41" s="5"/>
      <c r="D41" s="5"/>
      <c r="E41" s="5"/>
      <c r="F41" s="7"/>
      <c r="G41" s="21"/>
      <c r="H41" s="6"/>
      <c r="I41" s="8"/>
      <c r="J41" s="8"/>
      <c r="K41" s="9"/>
      <c r="L41" s="10" t="str">
        <f t="shared" si="4"/>
        <v/>
      </c>
      <c r="M41" s="10" t="str">
        <f>IF(D41="","",IF(J41&lt;&gt;"",J41,IFERROR(VLOOKUP(L41,'Справочник ролей'!$A$2:$E$20,4,0),0)))</f>
        <v/>
      </c>
      <c r="N41" s="9" t="str">
        <f>IF(D41="","",IF(K41&lt;&gt;"",K41,IFERROR(VLOOKUP(L41,'Справочник ролей'!$A$2:$E$20,5,0),0)))</f>
        <v/>
      </c>
      <c r="O41" s="11" t="str">
        <f>IF(D41="","",IF(H41&lt;&gt;"Авто",H41,IF(Ввод!$B$10&lt;&gt;"Авто",Ввод!$B$10,IFERROR(VLOOKUP(Ввод!$B$5,'Справочник типов'!$A$2:$I$27,9,0),"Всего"))))</f>
        <v/>
      </c>
      <c r="P41" s="11" t="str">
        <f>IF(D41="","",IF(O41="В месяц",MAX(1,SUMIF('Технические данные'!$F$12:$F$19,"TERM_MONTHS",'Технические данные'!$I$12:$I$19)),IF(O41="На единицу",IF(I41&lt;&gt;"",I41,MAX(1,SUMIF('Технические данные'!$F$12:$F$19,"QTY",'Технические данные'!$I$12:$I$19))),IF(O41="Ед. × месяц",IF(I41&lt;&gt;"",I41,MAX(1,SUMIF('Технические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41" s="10" t="str">
        <f>IF(D41="","",F41*P41*IF(SUMIF('Технические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41" s="10" t="str">
        <f t="shared" si="5"/>
        <v/>
      </c>
      <c r="S41" s="12" t="str">
        <f t="shared" si="6"/>
        <v/>
      </c>
      <c r="T41" s="9" t="str">
        <f>IF(D41="","",Q41/(Ввод!$B$9*IF(SUMIF('Технические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41" s="5" t="str">
        <f t="shared" si="7"/>
        <v/>
      </c>
      <c r="V41" s="5"/>
    </row>
    <row r="42" spans="1:22" ht="42" customHeight="1" x14ac:dyDescent="0.3">
      <c r="A42" s="6"/>
      <c r="B42" s="5"/>
      <c r="C42" s="5"/>
      <c r="D42" s="5"/>
      <c r="E42" s="5"/>
      <c r="F42" s="7"/>
      <c r="G42" s="21"/>
      <c r="H42" s="6"/>
      <c r="I42" s="8"/>
      <c r="J42" s="8"/>
      <c r="K42" s="9"/>
      <c r="L42" s="10" t="str">
        <f t="shared" si="4"/>
        <v/>
      </c>
      <c r="M42" s="10" t="str">
        <f>IF(D42="","",IF(J42&lt;&gt;"",J42,IFERROR(VLOOKUP(L42,'Справочник ролей'!$A$2:$E$20,4,0),0)))</f>
        <v/>
      </c>
      <c r="N42" s="9" t="str">
        <f>IF(D42="","",IF(K42&lt;&gt;"",K42,IFERROR(VLOOKUP(L42,'Справочник ролей'!$A$2:$E$20,5,0),0)))</f>
        <v/>
      </c>
      <c r="O42" s="11" t="str">
        <f>IF(D42="","",IF(H42&lt;&gt;"Авто",H42,IF(Ввод!$B$10&lt;&gt;"Авто",Ввод!$B$10,IFERROR(VLOOKUP(Ввод!$B$5,'Справочник типов'!$A$2:$I$27,9,0),"Всего"))))</f>
        <v/>
      </c>
      <c r="P42" s="11" t="str">
        <f>IF(D42="","",IF(O42="В месяц",MAX(1,SUMIF('Технические данные'!$F$12:$F$19,"TERM_MONTHS",'Технические данные'!$I$12:$I$19)),IF(O42="На единицу",IF(I42&lt;&gt;"",I42,MAX(1,SUMIF('Технические данные'!$F$12:$F$19,"QTY",'Технические данные'!$I$12:$I$19))),IF(O42="Ед. × месяц",IF(I42&lt;&gt;"",I42,MAX(1,SUMIF('Технические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42" s="10" t="str">
        <f>IF(D42="","",F42*P42*IF(SUMIF('Технические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42" s="10" t="str">
        <f t="shared" si="5"/>
        <v/>
      </c>
      <c r="S42" s="12" t="str">
        <f t="shared" si="6"/>
        <v/>
      </c>
      <c r="T42" s="9" t="str">
        <f>IF(D42="","",Q42/(Ввод!$B$9*IF(SUMIF('Технические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42" s="5" t="str">
        <f t="shared" si="7"/>
        <v/>
      </c>
      <c r="V42" s="5"/>
    </row>
    <row r="43" spans="1:22" ht="42" customHeight="1" x14ac:dyDescent="0.3">
      <c r="A43" s="6"/>
      <c r="B43" s="5"/>
      <c r="C43" s="5"/>
      <c r="D43" s="5"/>
      <c r="E43" s="5"/>
      <c r="F43" s="7"/>
      <c r="G43" s="21"/>
      <c r="H43" s="6"/>
      <c r="I43" s="8"/>
      <c r="J43" s="8"/>
      <c r="K43" s="9"/>
      <c r="L43" s="10" t="str">
        <f t="shared" si="4"/>
        <v/>
      </c>
      <c r="M43" s="10" t="str">
        <f>IF(D43="","",IF(J43&lt;&gt;"",J43,IFERROR(VLOOKUP(L43,'Справочник ролей'!$A$2:$E$20,4,0),0)))</f>
        <v/>
      </c>
      <c r="N43" s="9" t="str">
        <f>IF(D43="","",IF(K43&lt;&gt;"",K43,IFERROR(VLOOKUP(L43,'Справочник ролей'!$A$2:$E$20,5,0),0)))</f>
        <v/>
      </c>
      <c r="O43" s="11" t="str">
        <f>IF(D43="","",IF(H43&lt;&gt;"Авто",H43,IF(Ввод!$B$10&lt;&gt;"Авто",Ввод!$B$10,IFERROR(VLOOKUP(Ввод!$B$5,'Справочник типов'!$A$2:$I$27,9,0),"Всего"))))</f>
        <v/>
      </c>
      <c r="P43" s="11" t="str">
        <f>IF(D43="","",IF(O43="В месяц",MAX(1,SUMIF('Технические данные'!$F$12:$F$19,"TERM_MONTHS",'Технические данные'!$I$12:$I$19)),IF(O43="На единицу",IF(I43&lt;&gt;"",I43,MAX(1,SUMIF('Технические данные'!$F$12:$F$19,"QTY",'Технические данные'!$I$12:$I$19))),IF(O43="Ед. × месяц",IF(I43&lt;&gt;"",I43,MAX(1,SUMIF('Технические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43" s="10" t="str">
        <f>IF(D43="","",F43*P43*IF(SUMIF('Технические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43" s="10" t="str">
        <f t="shared" si="5"/>
        <v/>
      </c>
      <c r="S43" s="12" t="str">
        <f t="shared" si="6"/>
        <v/>
      </c>
      <c r="T43" s="9" t="str">
        <f>IF(D43="","",Q43/(Ввод!$B$9*IF(SUMIF('Технические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43" s="5" t="str">
        <f t="shared" si="7"/>
        <v/>
      </c>
      <c r="V43" s="5"/>
    </row>
    <row r="44" spans="1:22" ht="42" customHeight="1" x14ac:dyDescent="0.3">
      <c r="A44" s="6"/>
      <c r="B44" s="5"/>
      <c r="C44" s="5"/>
      <c r="D44" s="5"/>
      <c r="E44" s="5"/>
      <c r="F44" s="7"/>
      <c r="G44" s="21"/>
      <c r="H44" s="6"/>
      <c r="I44" s="8"/>
      <c r="J44" s="8"/>
      <c r="K44" s="9"/>
      <c r="L44" s="10" t="str">
        <f t="shared" si="4"/>
        <v/>
      </c>
      <c r="M44" s="10" t="str">
        <f>IF(D44="","",IF(J44&lt;&gt;"",J44,IFERROR(VLOOKUP(L44,'Справочник ролей'!$A$2:$E$20,4,0),0)))</f>
        <v/>
      </c>
      <c r="N44" s="9" t="str">
        <f>IF(D44="","",IF(K44&lt;&gt;"",K44,IFERROR(VLOOKUP(L44,'Справочник ролей'!$A$2:$E$20,5,0),0)))</f>
        <v/>
      </c>
      <c r="O44" s="11" t="str">
        <f>IF(D44="","",IF(H44&lt;&gt;"Авто",H44,IF(Ввод!$B$10&lt;&gt;"Авто",Ввод!$B$10,IFERROR(VLOOKUP(Ввод!$B$5,'Справочник типов'!$A$2:$I$27,9,0),"Всего"))))</f>
        <v/>
      </c>
      <c r="P44" s="11" t="str">
        <f>IF(D44="","",IF(O44="В месяц",MAX(1,SUMIF('Технические данные'!$F$12:$F$19,"TERM_MONTHS",'Технические данные'!$I$12:$I$19)),IF(O44="На единицу",IF(I44&lt;&gt;"",I44,MAX(1,SUMIF('Технические данные'!$F$12:$F$19,"QTY",'Технические данные'!$I$12:$I$19))),IF(O44="Ед. × месяц",IF(I44&lt;&gt;"",I44,MAX(1,SUMIF('Технические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44" s="10" t="str">
        <f>IF(D44="","",F44*P44*IF(SUMIF('Технические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44" s="10" t="str">
        <f t="shared" si="5"/>
        <v/>
      </c>
      <c r="S44" s="12" t="str">
        <f t="shared" si="6"/>
        <v/>
      </c>
      <c r="T44" s="9" t="str">
        <f>IF(D44="","",Q44/(Ввод!$B$9*IF(SUMIF('Технические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44" s="5" t="str">
        <f t="shared" si="7"/>
        <v/>
      </c>
      <c r="V44" s="5"/>
    </row>
    <row r="45" spans="1:22" ht="42" customHeight="1" x14ac:dyDescent="0.3">
      <c r="A45" s="6"/>
      <c r="B45" s="5"/>
      <c r="C45" s="5"/>
      <c r="D45" s="5"/>
      <c r="E45" s="5"/>
      <c r="F45" s="7"/>
      <c r="G45" s="21"/>
      <c r="H45" s="6"/>
      <c r="I45" s="8"/>
      <c r="J45" s="8"/>
      <c r="K45" s="9"/>
      <c r="L45" s="10" t="str">
        <f t="shared" si="4"/>
        <v/>
      </c>
      <c r="M45" s="10" t="str">
        <f>IF(D45="","",IF(J45&lt;&gt;"",J45,IFERROR(VLOOKUP(L45,'Справочник ролей'!$A$2:$E$20,4,0),0)))</f>
        <v/>
      </c>
      <c r="N45" s="9" t="str">
        <f>IF(D45="","",IF(K45&lt;&gt;"",K45,IFERROR(VLOOKUP(L45,'Справочник ролей'!$A$2:$E$20,5,0),0)))</f>
        <v/>
      </c>
      <c r="O45" s="11" t="str">
        <f>IF(D45="","",IF(H45&lt;&gt;"Авто",H45,IF(Ввод!$B$10&lt;&gt;"Авто",Ввод!$B$10,IFERROR(VLOOKUP(Ввод!$B$5,'Справочник типов'!$A$2:$I$27,9,0),"Всего"))))</f>
        <v/>
      </c>
      <c r="P45" s="11" t="str">
        <f>IF(D45="","",IF(O45="В месяц",MAX(1,SUMIF('Технические данные'!$F$12:$F$19,"TERM_MONTHS",'Технические данные'!$I$12:$I$19)),IF(O45="На единицу",IF(I45&lt;&gt;"",I45,MAX(1,SUMIF('Технические данные'!$F$12:$F$19,"QTY",'Технические данные'!$I$12:$I$19))),IF(O45="Ед. × месяц",IF(I45&lt;&gt;"",I45,MAX(1,SUMIF('Технические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45" s="10" t="str">
        <f>IF(D45="","",F45*P45*IF(SUMIF('Технические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45" s="10" t="str">
        <f t="shared" si="5"/>
        <v/>
      </c>
      <c r="S45" s="12" t="str">
        <f t="shared" si="6"/>
        <v/>
      </c>
      <c r="T45" s="9" t="str">
        <f>IF(D45="","",Q45/(Ввод!$B$9*IF(SUMIF('Технические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45" s="5" t="str">
        <f t="shared" si="7"/>
        <v/>
      </c>
      <c r="V45" s="5"/>
    </row>
    <row r="46" spans="1:22" ht="42" customHeight="1" x14ac:dyDescent="0.3">
      <c r="A46" s="6"/>
      <c r="B46" s="5"/>
      <c r="C46" s="5"/>
      <c r="D46" s="5"/>
      <c r="E46" s="5"/>
      <c r="F46" s="7"/>
      <c r="G46" s="21"/>
      <c r="H46" s="6"/>
      <c r="I46" s="8"/>
      <c r="J46" s="8"/>
      <c r="K46" s="9"/>
      <c r="L46" s="10" t="str">
        <f t="shared" si="4"/>
        <v/>
      </c>
      <c r="M46" s="10" t="str">
        <f>IF(D46="","",IF(J46&lt;&gt;"",J46,IFERROR(VLOOKUP(L46,'Справочник ролей'!$A$2:$E$20,4,0),0)))</f>
        <v/>
      </c>
      <c r="N46" s="9" t="str">
        <f>IF(D46="","",IF(K46&lt;&gt;"",K46,IFERROR(VLOOKUP(L46,'Справочник ролей'!$A$2:$E$20,5,0),0)))</f>
        <v/>
      </c>
      <c r="O46" s="11" t="str">
        <f>IF(D46="","",IF(H46&lt;&gt;"Авто",H46,IF(Ввод!$B$10&lt;&gt;"Авто",Ввод!$B$10,IFERROR(VLOOKUP(Ввод!$B$5,'Справочник типов'!$A$2:$I$27,9,0),"Всего"))))</f>
        <v/>
      </c>
      <c r="P46" s="11" t="str">
        <f>IF(D46="","",IF(O46="В месяц",MAX(1,SUMIF('Технические данные'!$F$12:$F$19,"TERM_MONTHS",'Технические данные'!$I$12:$I$19)),IF(O46="На единицу",IF(I46&lt;&gt;"",I46,MAX(1,SUMIF('Технические данные'!$F$12:$F$19,"QTY",'Технические данные'!$I$12:$I$19))),IF(O46="Ед. × месяц",IF(I46&lt;&gt;"",I46,MAX(1,SUMIF('Технические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46" s="10" t="str">
        <f>IF(D46="","",F46*P46*IF(SUMIF('Технические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46" s="10" t="str">
        <f t="shared" si="5"/>
        <v/>
      </c>
      <c r="S46" s="12" t="str">
        <f t="shared" si="6"/>
        <v/>
      </c>
      <c r="T46" s="9" t="str">
        <f>IF(D46="","",Q46/(Ввод!$B$9*IF(SUMIF('Технические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46" s="5" t="str">
        <f t="shared" si="7"/>
        <v/>
      </c>
      <c r="V46" s="5"/>
    </row>
    <row r="47" spans="1:22" ht="42" customHeight="1" x14ac:dyDescent="0.3">
      <c r="A47" s="6"/>
      <c r="B47" s="5"/>
      <c r="C47" s="5"/>
      <c r="D47" s="5"/>
      <c r="E47" s="5"/>
      <c r="F47" s="7"/>
      <c r="G47" s="21"/>
      <c r="H47" s="6"/>
      <c r="I47" s="8"/>
      <c r="J47" s="8"/>
      <c r="K47" s="9"/>
      <c r="L47" s="10" t="str">
        <f t="shared" si="4"/>
        <v/>
      </c>
      <c r="M47" s="10" t="str">
        <f>IF(D47="","",IF(J47&lt;&gt;"",J47,IFERROR(VLOOKUP(L47,'Справочник ролей'!$A$2:$E$20,4,0),0)))</f>
        <v/>
      </c>
      <c r="N47" s="9" t="str">
        <f>IF(D47="","",IF(K47&lt;&gt;"",K47,IFERROR(VLOOKUP(L47,'Справочник ролей'!$A$2:$E$20,5,0),0)))</f>
        <v/>
      </c>
      <c r="O47" s="11" t="str">
        <f>IF(D47="","",IF(H47&lt;&gt;"Авто",H47,IF(Ввод!$B$10&lt;&gt;"Авто",Ввод!$B$10,IFERROR(VLOOKUP(Ввод!$B$5,'Справочник типов'!$A$2:$I$27,9,0),"Всего"))))</f>
        <v/>
      </c>
      <c r="P47" s="11" t="str">
        <f>IF(D47="","",IF(O47="В месяц",MAX(1,SUMIF('Технические данные'!$F$12:$F$19,"TERM_MONTHS",'Технические данные'!$I$12:$I$19)),IF(O47="На единицу",IF(I47&lt;&gt;"",I47,MAX(1,SUMIF('Технические данные'!$F$12:$F$19,"QTY",'Технические данные'!$I$12:$I$19))),IF(O47="Ед. × месяц",IF(I47&lt;&gt;"",I47,MAX(1,SUMIF('Технические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47" s="10" t="str">
        <f>IF(D47="","",F47*P47*IF(SUMIF('Технические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47" s="10" t="str">
        <f t="shared" si="5"/>
        <v/>
      </c>
      <c r="S47" s="12" t="str">
        <f t="shared" si="6"/>
        <v/>
      </c>
      <c r="T47" s="9" t="str">
        <f>IF(D47="","",Q47/(Ввод!$B$9*IF(SUMIF('Технические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47" s="5" t="str">
        <f t="shared" si="7"/>
        <v/>
      </c>
      <c r="V47" s="5"/>
    </row>
    <row r="48" spans="1:22" ht="42" customHeight="1" x14ac:dyDescent="0.3">
      <c r="A48" s="6"/>
      <c r="B48" s="5"/>
      <c r="C48" s="5"/>
      <c r="D48" s="5"/>
      <c r="E48" s="5"/>
      <c r="F48" s="7"/>
      <c r="G48" s="21"/>
      <c r="H48" s="6"/>
      <c r="I48" s="8"/>
      <c r="J48" s="8"/>
      <c r="K48" s="9"/>
      <c r="L48" s="10" t="str">
        <f t="shared" si="4"/>
        <v/>
      </c>
      <c r="M48" s="10" t="str">
        <f>IF(D48="","",IF(J48&lt;&gt;"",J48,IFERROR(VLOOKUP(L48,'Справочник ролей'!$A$2:$E$20,4,0),0)))</f>
        <v/>
      </c>
      <c r="N48" s="9" t="str">
        <f>IF(D48="","",IF(K48&lt;&gt;"",K48,IFERROR(VLOOKUP(L48,'Справочник ролей'!$A$2:$E$20,5,0),0)))</f>
        <v/>
      </c>
      <c r="O48" s="11" t="str">
        <f>IF(D48="","",IF(H48&lt;&gt;"Авто",H48,IF(Ввод!$B$10&lt;&gt;"Авто",Ввод!$B$10,IFERROR(VLOOKUP(Ввод!$B$5,'Справочник типов'!$A$2:$I$27,9,0),"Всего"))))</f>
        <v/>
      </c>
      <c r="P48" s="11" t="str">
        <f>IF(D48="","",IF(O48="В месяц",MAX(1,SUMIF('Технические данные'!$F$12:$F$19,"TERM_MONTHS",'Технические данные'!$I$12:$I$19)),IF(O48="На единицу",IF(I48&lt;&gt;"",I48,MAX(1,SUMIF('Технические данные'!$F$12:$F$19,"QTY",'Технические данные'!$I$12:$I$19))),IF(O48="Ед. × месяц",IF(I48&lt;&gt;"",I48,MAX(1,SUMIF('Технические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48" s="10" t="str">
        <f>IF(D48="","",F48*P48*IF(SUMIF('Технические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48" s="10" t="str">
        <f t="shared" si="5"/>
        <v/>
      </c>
      <c r="S48" s="12" t="str">
        <f t="shared" si="6"/>
        <v/>
      </c>
      <c r="T48" s="9" t="str">
        <f>IF(D48="","",Q48/(Ввод!$B$9*IF(SUMIF('Технические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48" s="5" t="str">
        <f t="shared" si="7"/>
        <v/>
      </c>
      <c r="V48" s="5"/>
    </row>
    <row r="49" spans="1:22" ht="42" customHeight="1" x14ac:dyDescent="0.3">
      <c r="A49" s="6"/>
      <c r="B49" s="5"/>
      <c r="C49" s="5"/>
      <c r="D49" s="5"/>
      <c r="E49" s="5"/>
      <c r="F49" s="7"/>
      <c r="G49" s="21"/>
      <c r="H49" s="6"/>
      <c r="I49" s="8"/>
      <c r="J49" s="8"/>
      <c r="K49" s="9"/>
      <c r="L49" s="10" t="str">
        <f t="shared" si="4"/>
        <v/>
      </c>
      <c r="M49" s="10" t="str">
        <f>IF(D49="","",IF(J49&lt;&gt;"",J49,IFERROR(VLOOKUP(L49,'Справочник ролей'!$A$2:$E$20,4,0),0)))</f>
        <v/>
      </c>
      <c r="N49" s="9" t="str">
        <f>IF(D49="","",IF(K49&lt;&gt;"",K49,IFERROR(VLOOKUP(L49,'Справочник ролей'!$A$2:$E$20,5,0),0)))</f>
        <v/>
      </c>
      <c r="O49" s="11" t="str">
        <f>IF(D49="","",IF(H49&lt;&gt;"Авто",H49,IF(Ввод!$B$10&lt;&gt;"Авто",Ввод!$B$10,IFERROR(VLOOKUP(Ввод!$B$5,'Справочник типов'!$A$2:$I$27,9,0),"Всего"))))</f>
        <v/>
      </c>
      <c r="P49" s="11" t="str">
        <f>IF(D49="","",IF(O49="В месяц",MAX(1,SUMIF('Технические данные'!$F$12:$F$19,"TERM_MONTHS",'Технические данные'!$I$12:$I$19)),IF(O49="На единицу",IF(I49&lt;&gt;"",I49,MAX(1,SUMIF('Технические данные'!$F$12:$F$19,"QTY",'Технические данные'!$I$12:$I$19))),IF(O49="Ед. × месяц",IF(I49&lt;&gt;"",I49,MAX(1,SUMIF('Технические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49" s="10" t="str">
        <f>IF(D49="","",F49*P49*IF(SUMIF('Технические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49" s="10" t="str">
        <f t="shared" si="5"/>
        <v/>
      </c>
      <c r="S49" s="12" t="str">
        <f t="shared" si="6"/>
        <v/>
      </c>
      <c r="T49" s="9" t="str">
        <f>IF(D49="","",Q49/(Ввод!$B$9*IF(SUMIF('Технические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49" s="5" t="str">
        <f t="shared" si="7"/>
        <v/>
      </c>
      <c r="V49" s="5"/>
    </row>
    <row r="50" spans="1:22" ht="42" customHeight="1" x14ac:dyDescent="0.3">
      <c r="A50" s="6"/>
      <c r="B50" s="5"/>
      <c r="C50" s="5"/>
      <c r="D50" s="5"/>
      <c r="E50" s="5"/>
      <c r="F50" s="7"/>
      <c r="G50" s="21"/>
      <c r="H50" s="6"/>
      <c r="I50" s="8"/>
      <c r="J50" s="8"/>
      <c r="K50" s="9"/>
      <c r="L50" s="10" t="str">
        <f t="shared" si="4"/>
        <v/>
      </c>
      <c r="M50" s="10" t="str">
        <f>IF(D50="","",IF(J50&lt;&gt;"",J50,IFERROR(VLOOKUP(L50,'Справочник ролей'!$A$2:$E$20,4,0),0)))</f>
        <v/>
      </c>
      <c r="N50" s="9" t="str">
        <f>IF(D50="","",IF(K50&lt;&gt;"",K50,IFERROR(VLOOKUP(L50,'Справочник ролей'!$A$2:$E$20,5,0),0)))</f>
        <v/>
      </c>
      <c r="O50" s="11" t="str">
        <f>IF(D50="","",IF(H50&lt;&gt;"Авто",H50,IF(Ввод!$B$10&lt;&gt;"Авто",Ввод!$B$10,IFERROR(VLOOKUP(Ввод!$B$5,'Справочник типов'!$A$2:$I$27,9,0),"Всего"))))</f>
        <v/>
      </c>
      <c r="P50" s="11" t="str">
        <f>IF(D50="","",IF(O50="В месяц",MAX(1,SUMIF('Технические данные'!$F$12:$F$19,"TERM_MONTHS",'Технические данные'!$I$12:$I$19)),IF(O50="На единицу",IF(I50&lt;&gt;"",I50,MAX(1,SUMIF('Технические данные'!$F$12:$F$19,"QTY",'Технические данные'!$I$12:$I$19))),IF(O50="Ед. × месяц",IF(I50&lt;&gt;"",I50,MAX(1,SUMIF('Технические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50" s="10" t="str">
        <f>IF(D50="","",F50*P50*IF(SUMIF('Технические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50" s="10" t="str">
        <f t="shared" si="5"/>
        <v/>
      </c>
      <c r="S50" s="12" t="str">
        <f t="shared" si="6"/>
        <v/>
      </c>
      <c r="T50" s="9" t="str">
        <f>IF(D50="","",Q50/(Ввод!$B$9*IF(SUMIF('Технические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50" s="5" t="str">
        <f t="shared" si="7"/>
        <v/>
      </c>
      <c r="V50" s="5"/>
    </row>
    <row r="51" spans="1:22" ht="42" customHeight="1" x14ac:dyDescent="0.3">
      <c r="A51" s="6"/>
      <c r="B51" s="5"/>
      <c r="C51" s="5"/>
      <c r="D51" s="5"/>
      <c r="E51" s="5"/>
      <c r="F51" s="7"/>
      <c r="G51" s="21"/>
      <c r="H51" s="6"/>
      <c r="I51" s="8"/>
      <c r="J51" s="8"/>
      <c r="K51" s="9"/>
      <c r="L51" s="10" t="str">
        <f t="shared" si="4"/>
        <v/>
      </c>
      <c r="M51" s="10" t="str">
        <f>IF(D51="","",IF(J51&lt;&gt;"",J51,IFERROR(VLOOKUP(L51,'Справочник ролей'!$A$2:$E$20,4,0),0)))</f>
        <v/>
      </c>
      <c r="N51" s="9" t="str">
        <f>IF(D51="","",IF(K51&lt;&gt;"",K51,IFERROR(VLOOKUP(L51,'Справочник ролей'!$A$2:$E$20,5,0),0)))</f>
        <v/>
      </c>
      <c r="O51" s="11" t="str">
        <f>IF(D51="","",IF(H51&lt;&gt;"Авто",H51,IF(Ввод!$B$10&lt;&gt;"Авто",Ввод!$B$10,IFERROR(VLOOKUP(Ввод!$B$5,'Справочник типов'!$A$2:$I$27,9,0),"Всего"))))</f>
        <v/>
      </c>
      <c r="P51" s="11" t="str">
        <f>IF(D51="","",IF(O51="В месяц",MAX(1,SUMIF('Технические данные'!$F$12:$F$19,"TERM_MONTHS",'Технические данные'!$I$12:$I$19)),IF(O51="На единицу",IF(I51&lt;&gt;"",I51,MAX(1,SUMIF('Технические данные'!$F$12:$F$19,"QTY",'Технические данные'!$I$12:$I$19))),IF(O51="Ед. × месяц",IF(I51&lt;&gt;"",I51,MAX(1,SUMIF('Технические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51" s="10" t="str">
        <f>IF(D51="","",F51*P51*IF(SUMIF('Технические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51" s="10" t="str">
        <f t="shared" si="5"/>
        <v/>
      </c>
      <c r="S51" s="12" t="str">
        <f t="shared" si="6"/>
        <v/>
      </c>
      <c r="T51" s="9" t="str">
        <f>IF(D51="","",Q51/(Ввод!$B$9*IF(SUMIF('Технические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51" s="5" t="str">
        <f t="shared" si="7"/>
        <v/>
      </c>
      <c r="V51" s="5"/>
    </row>
    <row r="52" spans="1:22" ht="42" customHeight="1" x14ac:dyDescent="0.3">
      <c r="A52" s="6"/>
      <c r="B52" s="5"/>
      <c r="C52" s="5"/>
      <c r="D52" s="5"/>
      <c r="E52" s="5"/>
      <c r="F52" s="7"/>
      <c r="G52" s="21"/>
      <c r="H52" s="6"/>
      <c r="I52" s="8"/>
      <c r="J52" s="8"/>
      <c r="K52" s="9"/>
      <c r="L52" s="10" t="str">
        <f t="shared" si="4"/>
        <v/>
      </c>
      <c r="M52" s="10" t="str">
        <f>IF(D52="","",IF(J52&lt;&gt;"",J52,IFERROR(VLOOKUP(L52,'Справочник ролей'!$A$2:$E$20,4,0),0)))</f>
        <v/>
      </c>
      <c r="N52" s="9" t="str">
        <f>IF(D52="","",IF(K52&lt;&gt;"",K52,IFERROR(VLOOKUP(L52,'Справочник ролей'!$A$2:$E$20,5,0),0)))</f>
        <v/>
      </c>
      <c r="O52" s="11" t="str">
        <f>IF(D52="","",IF(H52&lt;&gt;"Авто",H52,IF(Ввод!$B$10&lt;&gt;"Авто",Ввод!$B$10,IFERROR(VLOOKUP(Ввод!$B$5,'Справочник типов'!$A$2:$I$27,9,0),"Всего"))))</f>
        <v/>
      </c>
      <c r="P52" s="11" t="str">
        <f>IF(D52="","",IF(O52="В месяц",MAX(1,SUMIF('Технические данные'!$F$12:$F$19,"TERM_MONTHS",'Технические данные'!$I$12:$I$19)),IF(O52="На единицу",IF(I52&lt;&gt;"",I52,MAX(1,SUMIF('Технические данные'!$F$12:$F$19,"QTY",'Технические данные'!$I$12:$I$19))),IF(O52="Ед. × месяц",IF(I52&lt;&gt;"",I52,MAX(1,SUMIF('Технические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52" s="10" t="str">
        <f>IF(D52="","",F52*P52*IF(SUMIF('Технические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52" s="10" t="str">
        <f t="shared" si="5"/>
        <v/>
      </c>
      <c r="S52" s="12" t="str">
        <f t="shared" si="6"/>
        <v/>
      </c>
      <c r="T52" s="9" t="str">
        <f>IF(D52="","",Q52/(Ввод!$B$9*IF(SUMIF('Технические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52" s="5" t="str">
        <f t="shared" si="7"/>
        <v/>
      </c>
      <c r="V52" s="5"/>
    </row>
    <row r="53" spans="1:22" ht="42" customHeight="1" x14ac:dyDescent="0.3">
      <c r="A53" s="6"/>
      <c r="B53" s="5"/>
      <c r="C53" s="5"/>
      <c r="D53" s="5"/>
      <c r="E53" s="5"/>
      <c r="F53" s="7"/>
      <c r="G53" s="21"/>
      <c r="H53" s="6"/>
      <c r="I53" s="8"/>
      <c r="J53" s="8"/>
      <c r="K53" s="9"/>
      <c r="L53" s="10" t="str">
        <f t="shared" si="4"/>
        <v/>
      </c>
      <c r="M53" s="10" t="str">
        <f>IF(D53="","",IF(J53&lt;&gt;"",J53,IFERROR(VLOOKUP(L53,'Справочник ролей'!$A$2:$E$20,4,0),0)))</f>
        <v/>
      </c>
      <c r="N53" s="9" t="str">
        <f>IF(D53="","",IF(K53&lt;&gt;"",K53,IFERROR(VLOOKUP(L53,'Справочник ролей'!$A$2:$E$20,5,0),0)))</f>
        <v/>
      </c>
      <c r="O53" s="11" t="str">
        <f>IF(D53="","",IF(H53&lt;&gt;"Авто",H53,IF(Ввод!$B$10&lt;&gt;"Авто",Ввод!$B$10,IFERROR(VLOOKUP(Ввод!$B$5,'Справочник типов'!$A$2:$I$27,9,0),"Всего"))))</f>
        <v/>
      </c>
      <c r="P53" s="11" t="str">
        <f>IF(D53="","",IF(O53="В месяц",MAX(1,SUMIF('Технические данные'!$F$12:$F$19,"TERM_MONTHS",'Технические данные'!$I$12:$I$19)),IF(O53="На единицу",IF(I53&lt;&gt;"",I53,MAX(1,SUMIF('Технические данные'!$F$12:$F$19,"QTY",'Технические данные'!$I$12:$I$19))),IF(O53="Ед. × месяц",IF(I53&lt;&gt;"",I53,MAX(1,SUMIF('Технические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53" s="10" t="str">
        <f>IF(D53="","",F53*P53*IF(SUMIF('Технические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53" s="10" t="str">
        <f t="shared" si="5"/>
        <v/>
      </c>
      <c r="S53" s="12" t="str">
        <f t="shared" si="6"/>
        <v/>
      </c>
      <c r="T53" s="9" t="str">
        <f>IF(D53="","",Q53/(Ввод!$B$9*IF(SUMIF('Технические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53" s="5" t="str">
        <f t="shared" si="7"/>
        <v/>
      </c>
      <c r="V53" s="5"/>
    </row>
    <row r="54" spans="1:22" ht="42" customHeight="1" x14ac:dyDescent="0.3">
      <c r="A54" s="6"/>
      <c r="B54" s="5"/>
      <c r="C54" s="5"/>
      <c r="D54" s="5"/>
      <c r="E54" s="5"/>
      <c r="F54" s="7"/>
      <c r="G54" s="21"/>
      <c r="H54" s="6"/>
      <c r="I54" s="8"/>
      <c r="J54" s="8"/>
      <c r="K54" s="9"/>
      <c r="L54" s="10" t="str">
        <f t="shared" si="4"/>
        <v/>
      </c>
      <c r="M54" s="10" t="str">
        <f>IF(D54="","",IF(J54&lt;&gt;"",J54,IFERROR(VLOOKUP(L54,'Справочник ролей'!$A$2:$E$20,4,0),0)))</f>
        <v/>
      </c>
      <c r="N54" s="9" t="str">
        <f>IF(D54="","",IF(K54&lt;&gt;"",K54,IFERROR(VLOOKUP(L54,'Справочник ролей'!$A$2:$E$20,5,0),0)))</f>
        <v/>
      </c>
      <c r="O54" s="11" t="str">
        <f>IF(D54="","",IF(H54&lt;&gt;"Авто",H54,IF(Ввод!$B$10&lt;&gt;"Авто",Ввод!$B$10,IFERROR(VLOOKUP(Ввод!$B$5,'Справочник типов'!$A$2:$I$27,9,0),"Всего"))))</f>
        <v/>
      </c>
      <c r="P54" s="11" t="str">
        <f>IF(D54="","",IF(O54="В месяц",MAX(1,SUMIF('Технические данные'!$F$12:$F$19,"TERM_MONTHS",'Технические данные'!$I$12:$I$19)),IF(O54="На единицу",IF(I54&lt;&gt;"",I54,MAX(1,SUMIF('Технические данные'!$F$12:$F$19,"QTY",'Технические данные'!$I$12:$I$19))),IF(O54="Ед. × месяц",IF(I54&lt;&gt;"",I54,MAX(1,SUMIF('Технические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54" s="10" t="str">
        <f>IF(D54="","",F54*P54*IF(SUMIF('Технические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54" s="10" t="str">
        <f t="shared" si="5"/>
        <v/>
      </c>
      <c r="S54" s="12" t="str">
        <f t="shared" si="6"/>
        <v/>
      </c>
      <c r="T54" s="9" t="str">
        <f>IF(D54="","",Q54/(Ввод!$B$9*IF(SUMIF('Технические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54" s="5" t="str">
        <f t="shared" si="7"/>
        <v/>
      </c>
      <c r="V54" s="5"/>
    </row>
    <row r="55" spans="1:22" ht="42" customHeight="1" x14ac:dyDescent="0.3">
      <c r="A55" s="6"/>
      <c r="B55" s="5"/>
      <c r="C55" s="5"/>
      <c r="D55" s="5"/>
      <c r="E55" s="5"/>
      <c r="F55" s="7"/>
      <c r="G55" s="21"/>
      <c r="H55" s="6"/>
      <c r="I55" s="8"/>
      <c r="J55" s="8"/>
      <c r="K55" s="9"/>
      <c r="L55" s="10" t="str">
        <f t="shared" si="4"/>
        <v/>
      </c>
      <c r="M55" s="10" t="str">
        <f>IF(D55="","",IF(J55&lt;&gt;"",J55,IFERROR(VLOOKUP(L55,'Справочник ролей'!$A$2:$E$20,4,0),0)))</f>
        <v/>
      </c>
      <c r="N55" s="9" t="str">
        <f>IF(D55="","",IF(K55&lt;&gt;"",K55,IFERROR(VLOOKUP(L55,'Справочник ролей'!$A$2:$E$20,5,0),0)))</f>
        <v/>
      </c>
      <c r="O55" s="11" t="str">
        <f>IF(D55="","",IF(H55&lt;&gt;"Авто",H55,IF(Ввод!$B$10&lt;&gt;"Авто",Ввод!$B$10,IFERROR(VLOOKUP(Ввод!$B$5,'Справочник типов'!$A$2:$I$27,9,0),"Всего"))))</f>
        <v/>
      </c>
      <c r="P55" s="11" t="str">
        <f>IF(D55="","",IF(O55="В месяц",MAX(1,SUMIF('Технические данные'!$F$12:$F$19,"TERM_MONTHS",'Технические данные'!$I$12:$I$19)),IF(O55="На единицу",IF(I55&lt;&gt;"",I55,MAX(1,SUMIF('Технические данные'!$F$12:$F$19,"QTY",'Технические данные'!$I$12:$I$19))),IF(O55="Ед. × месяц",IF(I55&lt;&gt;"",I55,MAX(1,SUMIF('Технические данные'!$F$12:$F$19,"QTY",'Технические данные'!$I$12:$I$19)))*MAX(1,SUMIF('Технические данные'!$F$12:$F$19,"TERM_MONTHS",'Технические данные'!$I$12:$I$19)),1))))</f>
        <v/>
      </c>
      <c r="Q55" s="10" t="str">
        <f>IF(D55="","",F55*P55*IF(SUMIF('Технические данные'!$F$12:$F$19,"COMPLEXITY",'Технические данные'!$I$12:$I$19)=0,1,SUMIF('Технические данные'!$F$12:$F$19,"COMPLEXITY",'Технические данные'!$I$12:$I$19))*(1+SUMIF('Технические данные'!$F$12:$F$19,"RISK_PCT",'Технические данные'!$I$12:$I$19)))</f>
        <v/>
      </c>
      <c r="R55" s="10" t="str">
        <f t="shared" si="5"/>
        <v/>
      </c>
      <c r="S55" s="12" t="str">
        <f t="shared" si="6"/>
        <v/>
      </c>
      <c r="T55" s="9" t="str">
        <f>IF(D55="","",Q55/(Ввод!$B$9*IF(SUMIF('Технические данные'!$F$12:$F$19,"PARALLEL_FTE",'Технические данные'!$I$12:$I$19)=0,1,SUMIF('Технические данные'!$F$12:$F$19,"PARALLEL_FTE",'Технические данные'!$I$12:$I$19))))</f>
        <v/>
      </c>
      <c r="U55" s="5" t="str">
        <f t="shared" si="7"/>
        <v/>
      </c>
      <c r="V55" s="5"/>
    </row>
    <row r="56" spans="1:22" x14ac:dyDescent="0.3">
      <c r="K56" t="str">
        <f t="shared" ref="K56:K69" si="8">IFERROR(MID(E56,FIND("#",E56)+1,20),"")</f>
        <v/>
      </c>
      <c r="R56" t="str">
        <f t="shared" si="5"/>
        <v/>
      </c>
    </row>
    <row r="57" spans="1:22" x14ac:dyDescent="0.3">
      <c r="K57" t="str">
        <f t="shared" si="8"/>
        <v/>
      </c>
      <c r="R57" t="str">
        <f t="shared" si="5"/>
        <v/>
      </c>
    </row>
    <row r="58" spans="1:22" x14ac:dyDescent="0.3">
      <c r="K58" t="str">
        <f t="shared" si="8"/>
        <v/>
      </c>
      <c r="R58" t="str">
        <f t="shared" si="5"/>
        <v/>
      </c>
    </row>
    <row r="59" spans="1:22" x14ac:dyDescent="0.3">
      <c r="K59" t="str">
        <f t="shared" si="8"/>
        <v/>
      </c>
      <c r="R59" t="str">
        <f t="shared" si="5"/>
        <v/>
      </c>
    </row>
    <row r="60" spans="1:22" x14ac:dyDescent="0.3">
      <c r="K60" t="str">
        <f t="shared" si="8"/>
        <v/>
      </c>
      <c r="R60" t="str">
        <f t="shared" si="5"/>
        <v/>
      </c>
    </row>
    <row r="61" spans="1:22" x14ac:dyDescent="0.3">
      <c r="K61" t="str">
        <f t="shared" si="8"/>
        <v/>
      </c>
      <c r="R61" t="str">
        <f t="shared" si="5"/>
        <v/>
      </c>
    </row>
    <row r="62" spans="1:22" x14ac:dyDescent="0.3">
      <c r="K62" t="str">
        <f t="shared" si="8"/>
        <v/>
      </c>
      <c r="R62" t="str">
        <f t="shared" si="5"/>
        <v/>
      </c>
    </row>
    <row r="63" spans="1:22" x14ac:dyDescent="0.3">
      <c r="K63" t="str">
        <f t="shared" si="8"/>
        <v/>
      </c>
      <c r="R63" t="str">
        <f t="shared" si="5"/>
        <v/>
      </c>
    </row>
    <row r="64" spans="1:22" x14ac:dyDescent="0.3">
      <c r="K64" t="str">
        <f t="shared" si="8"/>
        <v/>
      </c>
      <c r="R64" t="str">
        <f t="shared" si="5"/>
        <v/>
      </c>
    </row>
    <row r="65" spans="11:20" x14ac:dyDescent="0.3">
      <c r="K65" t="str">
        <f t="shared" si="8"/>
        <v/>
      </c>
      <c r="R65" t="str">
        <f t="shared" si="5"/>
        <v/>
      </c>
    </row>
    <row r="66" spans="11:20" x14ac:dyDescent="0.3">
      <c r="K66" t="str">
        <f t="shared" si="8"/>
        <v/>
      </c>
      <c r="R66" t="str">
        <f t="shared" si="5"/>
        <v/>
      </c>
    </row>
    <row r="67" spans="11:20" x14ac:dyDescent="0.3">
      <c r="K67" t="str">
        <f t="shared" si="8"/>
        <v/>
      </c>
      <c r="R67" t="str">
        <f t="shared" si="5"/>
        <v/>
      </c>
    </row>
    <row r="68" spans="11:20" x14ac:dyDescent="0.3">
      <c r="K68" t="str">
        <f t="shared" si="8"/>
        <v/>
      </c>
      <c r="R68" t="str">
        <f t="shared" si="5"/>
        <v/>
      </c>
    </row>
    <row r="69" spans="11:20" x14ac:dyDescent="0.3">
      <c r="K69" t="str">
        <f t="shared" si="8"/>
        <v/>
      </c>
      <c r="R69" t="str">
        <f t="shared" si="5"/>
        <v/>
      </c>
    </row>
    <row r="70" spans="11:20" x14ac:dyDescent="0.3">
      <c r="K70" t="str">
        <f t="shared" ref="K70:K105" si="9">IFERROR(MID(E70,FIND("#",E70)+1,20),"")</f>
        <v/>
      </c>
      <c r="Q70" t="str">
        <f t="shared" ref="Q70:Q101" si="10">IF(D70="","",P70*L70)</f>
        <v/>
      </c>
      <c r="R70" t="str">
        <f t="shared" ref="R70:R105" si="11">IF(D70="","",P70*M70)</f>
        <v/>
      </c>
      <c r="T70" t="str">
        <f t="shared" ref="T70:T105" si="12">IF(D70="","",IF(F70&lt;=0,"ПРОВЕРИТЬ ЧАСЫ",IF(AND(L70=0,M70=0),"ПРОВЕРИТЬ СТАВКУ","OK")))</f>
        <v/>
      </c>
    </row>
    <row r="71" spans="11:20" x14ac:dyDescent="0.3">
      <c r="K71" t="str">
        <f t="shared" si="9"/>
        <v/>
      </c>
      <c r="Q71" t="str">
        <f t="shared" si="10"/>
        <v/>
      </c>
      <c r="R71" t="str">
        <f t="shared" si="11"/>
        <v/>
      </c>
      <c r="T71" t="str">
        <f t="shared" si="12"/>
        <v/>
      </c>
    </row>
    <row r="72" spans="11:20" x14ac:dyDescent="0.3">
      <c r="K72" t="str">
        <f t="shared" si="9"/>
        <v/>
      </c>
      <c r="Q72" t="str">
        <f t="shared" si="10"/>
        <v/>
      </c>
      <c r="R72" t="str">
        <f t="shared" si="11"/>
        <v/>
      </c>
      <c r="T72" t="str">
        <f t="shared" si="12"/>
        <v/>
      </c>
    </row>
    <row r="73" spans="11:20" x14ac:dyDescent="0.3">
      <c r="K73" t="str">
        <f t="shared" si="9"/>
        <v/>
      </c>
      <c r="Q73" t="str">
        <f t="shared" si="10"/>
        <v/>
      </c>
      <c r="R73" t="str">
        <f t="shared" si="11"/>
        <v/>
      </c>
      <c r="T73" t="str">
        <f t="shared" si="12"/>
        <v/>
      </c>
    </row>
    <row r="74" spans="11:20" x14ac:dyDescent="0.3">
      <c r="K74" t="str">
        <f t="shared" si="9"/>
        <v/>
      </c>
      <c r="Q74" t="str">
        <f t="shared" si="10"/>
        <v/>
      </c>
      <c r="R74" t="str">
        <f t="shared" si="11"/>
        <v/>
      </c>
      <c r="T74" t="str">
        <f t="shared" si="12"/>
        <v/>
      </c>
    </row>
    <row r="75" spans="11:20" x14ac:dyDescent="0.3">
      <c r="K75" t="str">
        <f t="shared" si="9"/>
        <v/>
      </c>
      <c r="Q75" t="str">
        <f t="shared" si="10"/>
        <v/>
      </c>
      <c r="R75" t="str">
        <f t="shared" si="11"/>
        <v/>
      </c>
      <c r="T75" t="str">
        <f t="shared" si="12"/>
        <v/>
      </c>
    </row>
    <row r="76" spans="11:20" x14ac:dyDescent="0.3">
      <c r="K76" t="str">
        <f t="shared" si="9"/>
        <v/>
      </c>
      <c r="Q76" t="str">
        <f t="shared" si="10"/>
        <v/>
      </c>
      <c r="R76" t="str">
        <f t="shared" si="11"/>
        <v/>
      </c>
      <c r="T76" t="str">
        <f t="shared" si="12"/>
        <v/>
      </c>
    </row>
    <row r="77" spans="11:20" x14ac:dyDescent="0.3">
      <c r="K77" t="str">
        <f t="shared" si="9"/>
        <v/>
      </c>
      <c r="Q77" t="str">
        <f t="shared" si="10"/>
        <v/>
      </c>
      <c r="R77" t="str">
        <f t="shared" si="11"/>
        <v/>
      </c>
      <c r="T77" t="str">
        <f t="shared" si="12"/>
        <v/>
      </c>
    </row>
    <row r="78" spans="11:20" x14ac:dyDescent="0.3">
      <c r="K78" t="str">
        <f t="shared" si="9"/>
        <v/>
      </c>
      <c r="Q78" t="str">
        <f t="shared" si="10"/>
        <v/>
      </c>
      <c r="R78" t="str">
        <f t="shared" si="11"/>
        <v/>
      </c>
      <c r="T78" t="str">
        <f t="shared" si="12"/>
        <v/>
      </c>
    </row>
    <row r="79" spans="11:20" x14ac:dyDescent="0.3">
      <c r="K79" t="str">
        <f t="shared" si="9"/>
        <v/>
      </c>
      <c r="Q79" t="str">
        <f t="shared" si="10"/>
        <v/>
      </c>
      <c r="R79" t="str">
        <f t="shared" si="11"/>
        <v/>
      </c>
      <c r="T79" t="str">
        <f t="shared" si="12"/>
        <v/>
      </c>
    </row>
    <row r="80" spans="11:20" x14ac:dyDescent="0.3">
      <c r="K80" t="str">
        <f t="shared" si="9"/>
        <v/>
      </c>
      <c r="Q80" t="str">
        <f t="shared" si="10"/>
        <v/>
      </c>
      <c r="R80" t="str">
        <f t="shared" si="11"/>
        <v/>
      </c>
      <c r="T80" t="str">
        <f t="shared" si="12"/>
        <v/>
      </c>
    </row>
    <row r="81" spans="11:20" x14ac:dyDescent="0.3">
      <c r="K81" t="str">
        <f t="shared" si="9"/>
        <v/>
      </c>
      <c r="Q81" t="str">
        <f t="shared" si="10"/>
        <v/>
      </c>
      <c r="R81" t="str">
        <f t="shared" si="11"/>
        <v/>
      </c>
      <c r="T81" t="str">
        <f t="shared" si="12"/>
        <v/>
      </c>
    </row>
    <row r="82" spans="11:20" x14ac:dyDescent="0.3">
      <c r="K82" t="str">
        <f t="shared" si="9"/>
        <v/>
      </c>
      <c r="Q82" t="str">
        <f t="shared" si="10"/>
        <v/>
      </c>
      <c r="R82" t="str">
        <f t="shared" si="11"/>
        <v/>
      </c>
      <c r="T82" t="str">
        <f t="shared" si="12"/>
        <v/>
      </c>
    </row>
    <row r="83" spans="11:20" x14ac:dyDescent="0.3">
      <c r="K83" t="str">
        <f t="shared" si="9"/>
        <v/>
      </c>
      <c r="Q83" t="str">
        <f t="shared" si="10"/>
        <v/>
      </c>
      <c r="R83" t="str">
        <f t="shared" si="11"/>
        <v/>
      </c>
      <c r="T83" t="str">
        <f t="shared" si="12"/>
        <v/>
      </c>
    </row>
    <row r="84" spans="11:20" x14ac:dyDescent="0.3">
      <c r="K84" t="str">
        <f t="shared" si="9"/>
        <v/>
      </c>
      <c r="Q84" t="str">
        <f t="shared" si="10"/>
        <v/>
      </c>
      <c r="R84" t="str">
        <f t="shared" si="11"/>
        <v/>
      </c>
      <c r="T84" t="str">
        <f t="shared" si="12"/>
        <v/>
      </c>
    </row>
    <row r="85" spans="11:20" x14ac:dyDescent="0.3">
      <c r="K85" t="str">
        <f t="shared" si="9"/>
        <v/>
      </c>
      <c r="Q85" t="str">
        <f t="shared" si="10"/>
        <v/>
      </c>
      <c r="R85" t="str">
        <f t="shared" si="11"/>
        <v/>
      </c>
      <c r="T85" t="str">
        <f t="shared" si="12"/>
        <v/>
      </c>
    </row>
    <row r="86" spans="11:20" x14ac:dyDescent="0.3">
      <c r="K86" t="str">
        <f t="shared" si="9"/>
        <v/>
      </c>
      <c r="Q86" t="str">
        <f t="shared" si="10"/>
        <v/>
      </c>
      <c r="R86" t="str">
        <f t="shared" si="11"/>
        <v/>
      </c>
      <c r="T86" t="str">
        <f t="shared" si="12"/>
        <v/>
      </c>
    </row>
    <row r="87" spans="11:20" x14ac:dyDescent="0.3">
      <c r="K87" t="str">
        <f t="shared" si="9"/>
        <v/>
      </c>
      <c r="Q87" t="str">
        <f t="shared" si="10"/>
        <v/>
      </c>
      <c r="R87" t="str">
        <f t="shared" si="11"/>
        <v/>
      </c>
      <c r="T87" t="str">
        <f t="shared" si="12"/>
        <v/>
      </c>
    </row>
    <row r="88" spans="11:20" x14ac:dyDescent="0.3">
      <c r="K88" t="str">
        <f t="shared" si="9"/>
        <v/>
      </c>
      <c r="Q88" t="str">
        <f t="shared" si="10"/>
        <v/>
      </c>
      <c r="R88" t="str">
        <f t="shared" si="11"/>
        <v/>
      </c>
      <c r="T88" t="str">
        <f t="shared" si="12"/>
        <v/>
      </c>
    </row>
    <row r="89" spans="11:20" x14ac:dyDescent="0.3">
      <c r="K89" t="str">
        <f t="shared" si="9"/>
        <v/>
      </c>
      <c r="Q89" t="str">
        <f t="shared" si="10"/>
        <v/>
      </c>
      <c r="R89" t="str">
        <f t="shared" si="11"/>
        <v/>
      </c>
      <c r="T89" t="str">
        <f t="shared" si="12"/>
        <v/>
      </c>
    </row>
    <row r="90" spans="11:20" x14ac:dyDescent="0.3">
      <c r="K90" t="str">
        <f t="shared" si="9"/>
        <v/>
      </c>
      <c r="Q90" t="str">
        <f t="shared" si="10"/>
        <v/>
      </c>
      <c r="R90" t="str">
        <f t="shared" si="11"/>
        <v/>
      </c>
      <c r="T90" t="str">
        <f t="shared" si="12"/>
        <v/>
      </c>
    </row>
    <row r="91" spans="11:20" x14ac:dyDescent="0.3">
      <c r="K91" t="str">
        <f t="shared" si="9"/>
        <v/>
      </c>
      <c r="Q91" t="str">
        <f t="shared" si="10"/>
        <v/>
      </c>
      <c r="R91" t="str">
        <f t="shared" si="11"/>
        <v/>
      </c>
      <c r="T91" t="str">
        <f t="shared" si="12"/>
        <v/>
      </c>
    </row>
    <row r="92" spans="11:20" x14ac:dyDescent="0.3">
      <c r="K92" t="str">
        <f t="shared" si="9"/>
        <v/>
      </c>
      <c r="Q92" t="str">
        <f t="shared" si="10"/>
        <v/>
      </c>
      <c r="R92" t="str">
        <f t="shared" si="11"/>
        <v/>
      </c>
      <c r="T92" t="str">
        <f t="shared" si="12"/>
        <v/>
      </c>
    </row>
    <row r="93" spans="11:20" x14ac:dyDescent="0.3">
      <c r="K93" t="str">
        <f t="shared" si="9"/>
        <v/>
      </c>
      <c r="Q93" t="str">
        <f t="shared" si="10"/>
        <v/>
      </c>
      <c r="R93" t="str">
        <f t="shared" si="11"/>
        <v/>
      </c>
      <c r="T93" t="str">
        <f t="shared" si="12"/>
        <v/>
      </c>
    </row>
    <row r="94" spans="11:20" x14ac:dyDescent="0.3">
      <c r="K94" t="str">
        <f t="shared" si="9"/>
        <v/>
      </c>
      <c r="Q94" t="str">
        <f t="shared" si="10"/>
        <v/>
      </c>
      <c r="R94" t="str">
        <f t="shared" si="11"/>
        <v/>
      </c>
      <c r="T94" t="str">
        <f t="shared" si="12"/>
        <v/>
      </c>
    </row>
    <row r="95" spans="11:20" x14ac:dyDescent="0.3">
      <c r="K95" t="str">
        <f t="shared" si="9"/>
        <v/>
      </c>
      <c r="Q95" t="str">
        <f t="shared" si="10"/>
        <v/>
      </c>
      <c r="R95" t="str">
        <f t="shared" si="11"/>
        <v/>
      </c>
      <c r="T95" t="str">
        <f t="shared" si="12"/>
        <v/>
      </c>
    </row>
    <row r="96" spans="11:20" x14ac:dyDescent="0.3">
      <c r="K96" t="str">
        <f t="shared" si="9"/>
        <v/>
      </c>
      <c r="Q96" t="str">
        <f t="shared" si="10"/>
        <v/>
      </c>
      <c r="R96" t="str">
        <f t="shared" si="11"/>
        <v/>
      </c>
      <c r="T96" t="str">
        <f t="shared" si="12"/>
        <v/>
      </c>
    </row>
    <row r="97" spans="11:20" x14ac:dyDescent="0.3">
      <c r="K97" t="str">
        <f t="shared" si="9"/>
        <v/>
      </c>
      <c r="Q97" t="str">
        <f t="shared" si="10"/>
        <v/>
      </c>
      <c r="R97" t="str">
        <f t="shared" si="11"/>
        <v/>
      </c>
      <c r="T97" t="str">
        <f t="shared" si="12"/>
        <v/>
      </c>
    </row>
    <row r="98" spans="11:20" x14ac:dyDescent="0.3">
      <c r="K98" t="str">
        <f t="shared" si="9"/>
        <v/>
      </c>
      <c r="Q98" t="str">
        <f t="shared" si="10"/>
        <v/>
      </c>
      <c r="R98" t="str">
        <f t="shared" si="11"/>
        <v/>
      </c>
      <c r="T98" t="str">
        <f t="shared" si="12"/>
        <v/>
      </c>
    </row>
    <row r="99" spans="11:20" x14ac:dyDescent="0.3">
      <c r="K99" t="str">
        <f t="shared" si="9"/>
        <v/>
      </c>
      <c r="Q99" t="str">
        <f t="shared" si="10"/>
        <v/>
      </c>
      <c r="R99" t="str">
        <f t="shared" si="11"/>
        <v/>
      </c>
      <c r="T99" t="str">
        <f t="shared" si="12"/>
        <v/>
      </c>
    </row>
    <row r="100" spans="11:20" x14ac:dyDescent="0.3">
      <c r="K100" t="str">
        <f t="shared" si="9"/>
        <v/>
      </c>
      <c r="Q100" t="str">
        <f t="shared" si="10"/>
        <v/>
      </c>
      <c r="R100" t="str">
        <f t="shared" si="11"/>
        <v/>
      </c>
      <c r="T100" t="str">
        <f t="shared" si="12"/>
        <v/>
      </c>
    </row>
    <row r="101" spans="11:20" x14ac:dyDescent="0.3">
      <c r="K101" t="str">
        <f t="shared" si="9"/>
        <v/>
      </c>
      <c r="Q101" t="str">
        <f t="shared" si="10"/>
        <v/>
      </c>
      <c r="R101" t="str">
        <f t="shared" si="11"/>
        <v/>
      </c>
      <c r="T101" t="str">
        <f t="shared" si="12"/>
        <v/>
      </c>
    </row>
    <row r="102" spans="11:20" x14ac:dyDescent="0.3">
      <c r="K102" t="str">
        <f t="shared" si="9"/>
        <v/>
      </c>
      <c r="Q102" t="str">
        <f t="shared" ref="Q102:Q105" si="13">IF(D102="","",P102*L102)</f>
        <v/>
      </c>
      <c r="R102" t="str">
        <f t="shared" si="11"/>
        <v/>
      </c>
      <c r="T102" t="str">
        <f t="shared" si="12"/>
        <v/>
      </c>
    </row>
    <row r="103" spans="11:20" x14ac:dyDescent="0.3">
      <c r="K103" t="str">
        <f t="shared" si="9"/>
        <v/>
      </c>
      <c r="Q103" t="str">
        <f t="shared" si="13"/>
        <v/>
      </c>
      <c r="R103" t="str">
        <f t="shared" si="11"/>
        <v/>
      </c>
      <c r="T103" t="str">
        <f t="shared" si="12"/>
        <v/>
      </c>
    </row>
    <row r="104" spans="11:20" x14ac:dyDescent="0.3">
      <c r="K104" t="str">
        <f t="shared" si="9"/>
        <v/>
      </c>
      <c r="Q104" t="str">
        <f t="shared" si="13"/>
        <v/>
      </c>
      <c r="R104" t="str">
        <f t="shared" si="11"/>
        <v/>
      </c>
      <c r="T104" t="str">
        <f t="shared" si="12"/>
        <v/>
      </c>
    </row>
    <row r="105" spans="11:20" x14ac:dyDescent="0.3">
      <c r="K105" t="str">
        <f t="shared" si="9"/>
        <v/>
      </c>
      <c r="Q105" t="str">
        <f t="shared" si="13"/>
        <v/>
      </c>
      <c r="R105" t="str">
        <f t="shared" si="11"/>
        <v/>
      </c>
      <c r="T105" t="str">
        <f t="shared" si="12"/>
        <v/>
      </c>
    </row>
  </sheetData>
  <mergeCells count="2">
    <mergeCell ref="A1:V1"/>
    <mergeCell ref="A3:V3"/>
  </mergeCells>
  <conditionalFormatting sqref="T6:T105">
    <cfRule type="containsText" dxfId="3" priority="2" operator="containsText" text="ПРОВЕРИТЬ">
      <formula>NOT(ISERROR(SEARCH("ПРОВЕРИТЬ",T6)))</formula>
    </cfRule>
  </conditionalFormatting>
  <dataValidations count="1">
    <dataValidation type="list" sqref="G6:G105" xr:uid="{00000000-0002-0000-0200-000000000000}">
      <formula1>"Авто,Всего,В месяц,На единицу,Ед. × месяц"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showGridLines="0" workbookViewId="0">
      <selection activeCell="G5" sqref="G5"/>
    </sheetView>
  </sheetViews>
  <sheetFormatPr defaultColWidth="8.5546875" defaultRowHeight="14.4" x14ac:dyDescent="0.3"/>
  <cols>
    <col min="1" max="1" width="18" customWidth="1"/>
    <col min="2" max="2" width="42" customWidth="1"/>
    <col min="3" max="3" width="14.109375" customWidth="1"/>
    <col min="4" max="4" width="12" customWidth="1"/>
    <col min="5" max="5" width="22" customWidth="1"/>
    <col min="6" max="6" width="25" customWidth="1"/>
    <col min="7" max="7" width="18.6640625" customWidth="1"/>
    <col min="8" max="8" width="14.21875" customWidth="1"/>
    <col min="9" max="9" width="22" customWidth="1"/>
    <col min="10" max="10" width="20" customWidth="1"/>
    <col min="11" max="11" width="40" customWidth="1"/>
  </cols>
  <sheetData>
    <row r="1" spans="1:11" ht="30" customHeight="1" x14ac:dyDescent="0.3">
      <c r="A1" s="65" t="s">
        <v>75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4.85" customHeight="1" x14ac:dyDescent="0.3">
      <c r="A3" s="66" t="s">
        <v>76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5.2" x14ac:dyDescent="0.3">
      <c r="A5" s="2" t="s">
        <v>77</v>
      </c>
      <c r="B5" s="2" t="s">
        <v>78</v>
      </c>
      <c r="C5" s="2" t="s">
        <v>79</v>
      </c>
      <c r="D5" s="2" t="s">
        <v>43</v>
      </c>
      <c r="E5" s="2" t="s">
        <v>80</v>
      </c>
      <c r="F5" s="2" t="s">
        <v>81</v>
      </c>
      <c r="G5" s="2" t="s">
        <v>82</v>
      </c>
      <c r="H5" s="2" t="s">
        <v>67</v>
      </c>
      <c r="I5" s="2" t="s">
        <v>83</v>
      </c>
      <c r="J5" s="2" t="s">
        <v>84</v>
      </c>
      <c r="K5" s="2" t="s">
        <v>85</v>
      </c>
    </row>
    <row r="6" spans="1:11" x14ac:dyDescent="0.3">
      <c r="A6" s="6"/>
      <c r="B6" s="5"/>
      <c r="C6" s="6"/>
      <c r="D6" s="6"/>
      <c r="E6" s="8"/>
      <c r="F6" s="8"/>
      <c r="G6" s="6"/>
      <c r="H6" s="11" t="str">
        <f>IF(B6="","",IF(G6="В месяц",MAX(1,SUMIF('Технические данные'!$F$12:$F$19,"TERM_MONTHS",'Технические данные'!$I$12:$I$19)),1))</f>
        <v/>
      </c>
      <c r="I6" s="10" t="str">
        <f t="shared" ref="I6:I25" si="0">IF(B6="","",C6*E6*H6)</f>
        <v/>
      </c>
      <c r="J6" s="10" t="str">
        <f>IF(B6="","",IF(F6&lt;&gt;"",C6*F6*H6,IF(IFERROR(VLOOKUP(Ввод!$B$5,'Справочник типов'!$A$2:$J$27,10,0),"По наценке")="По марже",IF(SUMIF('Технические данные'!$F$12:$F$19,"TARGET_MARGIN",'Технические данные'!$I$12:$I$19)&lt;1,I6/(1-SUMIF('Технические данные'!$F$12:$F$19,"TARGET_MARGIN",'Технические данные'!$I$12:$I$19)),0),I6*(1+SUMIF('Технические данные'!$F$12:$F$19,"MARKUP",'Технические данные'!$I$12:$I$19)))))</f>
        <v/>
      </c>
      <c r="K6" s="4"/>
    </row>
    <row r="7" spans="1:11" x14ac:dyDescent="0.3">
      <c r="A7" s="6"/>
      <c r="B7" s="5"/>
      <c r="C7" s="6"/>
      <c r="D7" s="6"/>
      <c r="E7" s="8"/>
      <c r="F7" s="8"/>
      <c r="G7" s="6"/>
      <c r="H7" s="11" t="str">
        <f>IF(B7="","",IF(G7="В месяц",MAX(1,SUMIF('Технические данные'!$F$12:$F$19,"TERM_MONTHS",'Технические данные'!$I$12:$I$19)),1))</f>
        <v/>
      </c>
      <c r="I7" s="10" t="str">
        <f t="shared" si="0"/>
        <v/>
      </c>
      <c r="J7" s="10" t="str">
        <f>IF(B7="","",IF(F7&lt;&gt;"",C7*F7*H7,IF(IFERROR(VLOOKUP(Ввод!$B$5,'Справочник типов'!$A$2:$J$27,10,0),"По наценке")="По марже",IF(SUMIF('Технические данные'!$F$12:$F$19,"TARGET_MARGIN",'Технические данные'!$I$12:$I$19)&lt;1,I7/(1-SUMIF('Технические данные'!$F$12:$F$19,"TARGET_MARGIN",'Технические данные'!$I$12:$I$19)),0),I7*(1+SUMIF('Технические данные'!$F$12:$F$19,"MARKUP",'Технические данные'!$I$12:$I$19)))))</f>
        <v/>
      </c>
      <c r="K7" s="4"/>
    </row>
    <row r="8" spans="1:11" x14ac:dyDescent="0.3">
      <c r="A8" s="6"/>
      <c r="B8" s="5"/>
      <c r="C8" s="6"/>
      <c r="D8" s="6"/>
      <c r="E8" s="8"/>
      <c r="F8" s="8"/>
      <c r="G8" s="6"/>
      <c r="H8" s="11" t="str">
        <f>IF(B8="","",IF(G8="В месяц",MAX(1,SUMIF('Технические данные'!$F$12:$F$19,"TERM_MONTHS",'Технические данные'!$I$12:$I$19)),1))</f>
        <v/>
      </c>
      <c r="I8" s="10" t="str">
        <f t="shared" si="0"/>
        <v/>
      </c>
      <c r="J8" s="10" t="str">
        <f>IF(B8="","",IF(F8&lt;&gt;"",C8*F8*H8,IF(IFERROR(VLOOKUP(Ввод!$B$5,'Справочник типов'!$A$2:$J$27,10,0),"По наценке")="По марже",IF(SUMIF('Технические данные'!$F$12:$F$19,"TARGET_MARGIN",'Технические данные'!$I$12:$I$19)&lt;1,I8/(1-SUMIF('Технические данные'!$F$12:$F$19,"TARGET_MARGIN",'Технические данные'!$I$12:$I$19)),0),I8*(1+SUMIF('Технические данные'!$F$12:$F$19,"MARKUP",'Технические данные'!$I$12:$I$19)))))</f>
        <v/>
      </c>
      <c r="K8" s="4"/>
    </row>
    <row r="9" spans="1:11" x14ac:dyDescent="0.3">
      <c r="A9" s="6"/>
      <c r="B9" s="5"/>
      <c r="C9" s="6"/>
      <c r="D9" s="6"/>
      <c r="E9" s="8"/>
      <c r="F9" s="8"/>
      <c r="G9" s="6"/>
      <c r="H9" s="11" t="str">
        <f>IF(B9="","",IF(G9="В месяц",MAX(1,SUMIF('Технические данные'!$F$12:$F$19,"TERM_MONTHS",'Технические данные'!$I$12:$I$19)),1))</f>
        <v/>
      </c>
      <c r="I9" s="10" t="str">
        <f t="shared" si="0"/>
        <v/>
      </c>
      <c r="J9" s="10" t="str">
        <f>IF(B9="","",IF(F9&lt;&gt;"",C9*F9*H9,IF(IFERROR(VLOOKUP(Ввод!$B$5,'Справочник типов'!$A$2:$J$27,10,0),"По наценке")="По марже",IF(SUMIF('Технические данные'!$F$12:$F$19,"TARGET_MARGIN",'Технические данные'!$I$12:$I$19)&lt;1,I9/(1-SUMIF('Технические данные'!$F$12:$F$19,"TARGET_MARGIN",'Технические данные'!$I$12:$I$19)),0),I9*(1+SUMIF('Технические данные'!$F$12:$F$19,"MARKUP",'Технические данные'!$I$12:$I$19)))))</f>
        <v/>
      </c>
      <c r="K9" s="4"/>
    </row>
    <row r="10" spans="1:11" x14ac:dyDescent="0.3">
      <c r="A10" s="6"/>
      <c r="B10" s="5"/>
      <c r="C10" s="6"/>
      <c r="D10" s="6"/>
      <c r="E10" s="8"/>
      <c r="F10" s="8"/>
      <c r="G10" s="6"/>
      <c r="H10" s="11" t="str">
        <f>IF(B10="","",IF(G10="В месяц",MAX(1,SUMIF('Технические данные'!$F$12:$F$19,"TERM_MONTHS",'Технические данные'!$I$12:$I$19)),1))</f>
        <v/>
      </c>
      <c r="I10" s="10" t="str">
        <f t="shared" si="0"/>
        <v/>
      </c>
      <c r="J10" s="10" t="str">
        <f>IF(B10="","",IF(F10&lt;&gt;"",C10*F10*H10,IF(IFERROR(VLOOKUP(Ввод!$B$5,'Справочник типов'!$A$2:$J$27,10,0),"По наценке")="По марже",IF(SUMIF('Технические данные'!$F$12:$F$19,"TARGET_MARGIN",'Технические данные'!$I$12:$I$19)&lt;1,I10/(1-SUMIF('Технические данные'!$F$12:$F$19,"TARGET_MARGIN",'Технические данные'!$I$12:$I$19)),0),I10*(1+SUMIF('Технические данные'!$F$12:$F$19,"MARKUP",'Технические данные'!$I$12:$I$19)))))</f>
        <v/>
      </c>
      <c r="K10" s="4"/>
    </row>
    <row r="11" spans="1:11" x14ac:dyDescent="0.3">
      <c r="A11" s="6"/>
      <c r="B11" s="5"/>
      <c r="C11" s="6"/>
      <c r="D11" s="6"/>
      <c r="E11" s="8"/>
      <c r="F11" s="8"/>
      <c r="G11" s="6"/>
      <c r="H11" s="11" t="str">
        <f>IF(B11="","",IF(G11="В месяц",MAX(1,SUMIF('Технические данные'!$F$12:$F$19,"TERM_MONTHS",'Технические данные'!$I$12:$I$19)),1))</f>
        <v/>
      </c>
      <c r="I11" s="10" t="str">
        <f t="shared" si="0"/>
        <v/>
      </c>
      <c r="J11" s="10" t="str">
        <f>IF(B11="","",IF(F11&lt;&gt;"",C11*F11*H11,IF(IFERROR(VLOOKUP(Ввод!$B$5,'Справочник типов'!$A$2:$J$27,10,0),"По наценке")="По марже",IF(SUMIF('Технические данные'!$F$12:$F$19,"TARGET_MARGIN",'Технические данные'!$I$12:$I$19)&lt;1,I11/(1-SUMIF('Технические данные'!$F$12:$F$19,"TARGET_MARGIN",'Технические данные'!$I$12:$I$19)),0),I11*(1+SUMIF('Технические данные'!$F$12:$F$19,"MARKUP",'Технические данные'!$I$12:$I$19)))))</f>
        <v/>
      </c>
      <c r="K11" s="4"/>
    </row>
    <row r="12" spans="1:11" x14ac:dyDescent="0.3">
      <c r="A12" s="6"/>
      <c r="B12" s="5"/>
      <c r="C12" s="6"/>
      <c r="D12" s="6"/>
      <c r="E12" s="8"/>
      <c r="F12" s="8"/>
      <c r="G12" s="6"/>
      <c r="H12" s="11" t="str">
        <f>IF(B12="","",IF(G12="В месяц",MAX(1,SUMIF('Технические данные'!$F$12:$F$19,"TERM_MONTHS",'Технические данные'!$I$12:$I$19)),1))</f>
        <v/>
      </c>
      <c r="I12" s="10" t="str">
        <f t="shared" si="0"/>
        <v/>
      </c>
      <c r="J12" s="10" t="str">
        <f>IF(B12="","",IF(F12&lt;&gt;"",C12*F12*H12,IF(IFERROR(VLOOKUP(Ввод!$B$5,'Справочник типов'!$A$2:$J$27,10,0),"По наценке")="По марже",IF(SUMIF('Технические данные'!$F$12:$F$19,"TARGET_MARGIN",'Технические данные'!$I$12:$I$19)&lt;1,I12/(1-SUMIF('Технические данные'!$F$12:$F$19,"TARGET_MARGIN",'Технические данные'!$I$12:$I$19)),0),I12*(1+SUMIF('Технические данные'!$F$12:$F$19,"MARKUP",'Технические данные'!$I$12:$I$19)))))</f>
        <v/>
      </c>
      <c r="K12" s="4"/>
    </row>
    <row r="13" spans="1:11" x14ac:dyDescent="0.3">
      <c r="A13" s="6"/>
      <c r="B13" s="5"/>
      <c r="C13" s="6"/>
      <c r="D13" s="6"/>
      <c r="E13" s="8"/>
      <c r="F13" s="8"/>
      <c r="G13" s="6"/>
      <c r="H13" s="11" t="str">
        <f>IF(B13="","",IF(G13="В месяц",MAX(1,SUMIF('Технические данные'!$F$12:$F$19,"TERM_MONTHS",'Технические данные'!$I$12:$I$19)),1))</f>
        <v/>
      </c>
      <c r="I13" s="10" t="str">
        <f t="shared" si="0"/>
        <v/>
      </c>
      <c r="J13" s="10" t="str">
        <f>IF(B13="","",IF(F13&lt;&gt;"",C13*F13*H13,IF(IFERROR(VLOOKUP(Ввод!$B$5,'Справочник типов'!$A$2:$J$27,10,0),"По наценке")="По марже",IF(SUMIF('Технические данные'!$F$12:$F$19,"TARGET_MARGIN",'Технические данные'!$I$12:$I$19)&lt;1,I13/(1-SUMIF('Технические данные'!$F$12:$F$19,"TARGET_MARGIN",'Технические данные'!$I$12:$I$19)),0),I13*(1+SUMIF('Технические данные'!$F$12:$F$19,"MARKUP",'Технические данные'!$I$12:$I$19)))))</f>
        <v/>
      </c>
      <c r="K13" s="4"/>
    </row>
    <row r="14" spans="1:11" x14ac:dyDescent="0.3">
      <c r="A14" s="6"/>
      <c r="B14" s="5"/>
      <c r="C14" s="6"/>
      <c r="D14" s="6"/>
      <c r="E14" s="8"/>
      <c r="F14" s="8"/>
      <c r="G14" s="6"/>
      <c r="H14" s="11" t="str">
        <f>IF(B14="","",IF(G14="В месяц",MAX(1,SUMIF('Технические данные'!$F$12:$F$19,"TERM_MONTHS",'Технические данные'!$I$12:$I$19)),1))</f>
        <v/>
      </c>
      <c r="I14" s="10" t="str">
        <f t="shared" si="0"/>
        <v/>
      </c>
      <c r="J14" s="10" t="str">
        <f>IF(B14="","",IF(F14&lt;&gt;"",C14*F14*H14,IF(IFERROR(VLOOKUP(Ввод!$B$5,'Справочник типов'!$A$2:$J$27,10,0),"По наценке")="По марже",IF(SUMIF('Технические данные'!$F$12:$F$19,"TARGET_MARGIN",'Технические данные'!$I$12:$I$19)&lt;1,I14/(1-SUMIF('Технические данные'!$F$12:$F$19,"TARGET_MARGIN",'Технические данные'!$I$12:$I$19)),0),I14*(1+SUMIF('Технические данные'!$F$12:$F$19,"MARKUP",'Технические данные'!$I$12:$I$19)))))</f>
        <v/>
      </c>
      <c r="K14" s="4"/>
    </row>
    <row r="15" spans="1:11" x14ac:dyDescent="0.3">
      <c r="A15" s="6"/>
      <c r="B15" s="5"/>
      <c r="C15" s="6"/>
      <c r="D15" s="6"/>
      <c r="E15" s="8"/>
      <c r="F15" s="8"/>
      <c r="G15" s="6"/>
      <c r="H15" s="11" t="str">
        <f>IF(B15="","",IF(G15="В месяц",MAX(1,SUMIF('Технические данные'!$F$12:$F$19,"TERM_MONTHS",'Технические данные'!$I$12:$I$19)),1))</f>
        <v/>
      </c>
      <c r="I15" s="10" t="str">
        <f t="shared" si="0"/>
        <v/>
      </c>
      <c r="J15" s="10" t="str">
        <f>IF(B15="","",IF(F15&lt;&gt;"",C15*F15*H15,IF(IFERROR(VLOOKUP(Ввод!$B$5,'Справочник типов'!$A$2:$J$27,10,0),"По наценке")="По марже",IF(SUMIF('Технические данные'!$F$12:$F$19,"TARGET_MARGIN",'Технические данные'!$I$12:$I$19)&lt;1,I15/(1-SUMIF('Технические данные'!$F$12:$F$19,"TARGET_MARGIN",'Технические данные'!$I$12:$I$19)),0),I15*(1+SUMIF('Технические данные'!$F$12:$F$19,"MARKUP",'Технические данные'!$I$12:$I$19)))))</f>
        <v/>
      </c>
      <c r="K15" s="4"/>
    </row>
    <row r="16" spans="1:11" x14ac:dyDescent="0.3">
      <c r="A16" s="6"/>
      <c r="B16" s="5"/>
      <c r="C16" s="6"/>
      <c r="D16" s="6"/>
      <c r="E16" s="8"/>
      <c r="F16" s="8"/>
      <c r="G16" s="6"/>
      <c r="H16" s="11" t="str">
        <f>IF(B16="","",IF(G16="В месяц",MAX(1,SUMIF('Технические данные'!$F$12:$F$19,"TERM_MONTHS",'Технические данные'!$I$12:$I$19)),1))</f>
        <v/>
      </c>
      <c r="I16" s="10" t="str">
        <f t="shared" si="0"/>
        <v/>
      </c>
      <c r="J16" s="10" t="str">
        <f>IF(B16="","",IF(F16&lt;&gt;"",C16*F16*H16,IF(IFERROR(VLOOKUP(Ввод!$B$5,'Справочник типов'!$A$2:$J$27,10,0),"По наценке")="По марже",IF(SUMIF('Технические данные'!$F$12:$F$19,"TARGET_MARGIN",'Технические данные'!$I$12:$I$19)&lt;1,I16/(1-SUMIF('Технические данные'!$F$12:$F$19,"TARGET_MARGIN",'Технические данные'!$I$12:$I$19)),0),I16*(1+SUMIF('Технические данные'!$F$12:$F$19,"MARKUP",'Технические данные'!$I$12:$I$19)))))</f>
        <v/>
      </c>
      <c r="K16" s="4"/>
    </row>
    <row r="17" spans="1:11" x14ac:dyDescent="0.3">
      <c r="A17" s="6"/>
      <c r="B17" s="5"/>
      <c r="C17" s="6"/>
      <c r="D17" s="6"/>
      <c r="E17" s="8"/>
      <c r="F17" s="8"/>
      <c r="G17" s="6"/>
      <c r="H17" s="11" t="str">
        <f>IF(B17="","",IF(G17="В месяц",MAX(1,SUMIF('Технические данные'!$F$12:$F$19,"TERM_MONTHS",'Технические данные'!$I$12:$I$19)),1))</f>
        <v/>
      </c>
      <c r="I17" s="10" t="str">
        <f t="shared" si="0"/>
        <v/>
      </c>
      <c r="J17" s="10" t="str">
        <f>IF(B17="","",IF(F17&lt;&gt;"",C17*F17*H17,IF(IFERROR(VLOOKUP(Ввод!$B$5,'Справочник типов'!$A$2:$J$27,10,0),"По наценке")="По марже",IF(SUMIF('Технические данные'!$F$12:$F$19,"TARGET_MARGIN",'Технические данные'!$I$12:$I$19)&lt;1,I17/(1-SUMIF('Технические данные'!$F$12:$F$19,"TARGET_MARGIN",'Технические данные'!$I$12:$I$19)),0),I17*(1+SUMIF('Технические данные'!$F$12:$F$19,"MARKUP",'Технические данные'!$I$12:$I$19)))))</f>
        <v/>
      </c>
      <c r="K17" s="4"/>
    </row>
    <row r="18" spans="1:11" x14ac:dyDescent="0.3">
      <c r="A18" s="6"/>
      <c r="B18" s="5"/>
      <c r="C18" s="6"/>
      <c r="D18" s="6"/>
      <c r="E18" s="8"/>
      <c r="F18" s="8"/>
      <c r="G18" s="6"/>
      <c r="H18" s="11" t="str">
        <f>IF(B18="","",IF(G18="В месяц",MAX(1,SUMIF('Технические данные'!$F$12:$F$19,"TERM_MONTHS",'Технические данные'!$I$12:$I$19)),1))</f>
        <v/>
      </c>
      <c r="I18" s="10" t="str">
        <f t="shared" si="0"/>
        <v/>
      </c>
      <c r="J18" s="10" t="str">
        <f>IF(B18="","",IF(F18&lt;&gt;"",C18*F18*H18,IF(IFERROR(VLOOKUP(Ввод!$B$5,'Справочник типов'!$A$2:$J$27,10,0),"По наценке")="По марже",IF(SUMIF('Технические данные'!$F$12:$F$19,"TARGET_MARGIN",'Технические данные'!$I$12:$I$19)&lt;1,I18/(1-SUMIF('Технические данные'!$F$12:$F$19,"TARGET_MARGIN",'Технические данные'!$I$12:$I$19)),0),I18*(1+SUMIF('Технические данные'!$F$12:$F$19,"MARKUP",'Технические данные'!$I$12:$I$19)))))</f>
        <v/>
      </c>
      <c r="K18" s="4"/>
    </row>
    <row r="19" spans="1:11" x14ac:dyDescent="0.3">
      <c r="A19" s="6"/>
      <c r="B19" s="5"/>
      <c r="C19" s="6"/>
      <c r="D19" s="6"/>
      <c r="E19" s="8"/>
      <c r="F19" s="8"/>
      <c r="G19" s="6"/>
      <c r="H19" s="11" t="str">
        <f>IF(B19="","",IF(G19="В месяц",MAX(1,SUMIF('Технические данные'!$F$12:$F$19,"TERM_MONTHS",'Технические данные'!$I$12:$I$19)),1))</f>
        <v/>
      </c>
      <c r="I19" s="10" t="str">
        <f t="shared" si="0"/>
        <v/>
      </c>
      <c r="J19" s="10" t="str">
        <f>IF(B19="","",IF(F19&lt;&gt;"",C19*F19*H19,IF(IFERROR(VLOOKUP(Ввод!$B$5,'Справочник типов'!$A$2:$J$27,10,0),"По наценке")="По марже",IF(SUMIF('Технические данные'!$F$12:$F$19,"TARGET_MARGIN",'Технические данные'!$I$12:$I$19)&lt;1,I19/(1-SUMIF('Технические данные'!$F$12:$F$19,"TARGET_MARGIN",'Технические данные'!$I$12:$I$19)),0),I19*(1+SUMIF('Технические данные'!$F$12:$F$19,"MARKUP",'Технические данные'!$I$12:$I$19)))))</f>
        <v/>
      </c>
      <c r="K19" s="4"/>
    </row>
    <row r="20" spans="1:11" x14ac:dyDescent="0.3">
      <c r="A20" s="6"/>
      <c r="B20" s="5"/>
      <c r="C20" s="6"/>
      <c r="D20" s="6"/>
      <c r="E20" s="8"/>
      <c r="F20" s="8"/>
      <c r="G20" s="6"/>
      <c r="H20" s="11" t="str">
        <f>IF(B20="","",IF(G20="В месяц",MAX(1,SUMIF('Технические данные'!$F$12:$F$19,"TERM_MONTHS",'Технические данные'!$I$12:$I$19)),1))</f>
        <v/>
      </c>
      <c r="I20" s="10" t="str">
        <f t="shared" si="0"/>
        <v/>
      </c>
      <c r="J20" s="10" t="str">
        <f>IF(B20="","",IF(F20&lt;&gt;"",C20*F20*H20,IF(IFERROR(VLOOKUP(Ввод!$B$5,'Справочник типов'!$A$2:$J$27,10,0),"По наценке")="По марже",IF(SUMIF('Технические данные'!$F$12:$F$19,"TARGET_MARGIN",'Технические данные'!$I$12:$I$19)&lt;1,I20/(1-SUMIF('Технические данные'!$F$12:$F$19,"TARGET_MARGIN",'Технические данные'!$I$12:$I$19)),0),I20*(1+SUMIF('Технические данные'!$F$12:$F$19,"MARKUP",'Технические данные'!$I$12:$I$19)))))</f>
        <v/>
      </c>
      <c r="K20" s="4"/>
    </row>
    <row r="21" spans="1:11" x14ac:dyDescent="0.3">
      <c r="A21" s="6"/>
      <c r="B21" s="5"/>
      <c r="C21" s="6"/>
      <c r="D21" s="6"/>
      <c r="E21" s="8"/>
      <c r="F21" s="8"/>
      <c r="G21" s="6"/>
      <c r="H21" s="11" t="str">
        <f>IF(B21="","",IF(G21="В месяц",MAX(1,SUMIF('Технические данные'!$F$12:$F$19,"TERM_MONTHS",'Технические данные'!$I$12:$I$19)),1))</f>
        <v/>
      </c>
      <c r="I21" s="10" t="str">
        <f t="shared" si="0"/>
        <v/>
      </c>
      <c r="J21" s="10" t="str">
        <f>IF(B21="","",IF(F21&lt;&gt;"",C21*F21*H21,IF(IFERROR(VLOOKUP(Ввод!$B$5,'Справочник типов'!$A$2:$J$27,10,0),"По наценке")="По марже",IF(SUMIF('Технические данные'!$F$12:$F$19,"TARGET_MARGIN",'Технические данные'!$I$12:$I$19)&lt;1,I21/(1-SUMIF('Технические данные'!$F$12:$F$19,"TARGET_MARGIN",'Технические данные'!$I$12:$I$19)),0),I21*(1+SUMIF('Технические данные'!$F$12:$F$19,"MARKUP",'Технические данные'!$I$12:$I$19)))))</f>
        <v/>
      </c>
      <c r="K21" s="4"/>
    </row>
    <row r="22" spans="1:11" x14ac:dyDescent="0.3">
      <c r="A22" s="6"/>
      <c r="B22" s="5"/>
      <c r="C22" s="6"/>
      <c r="D22" s="6"/>
      <c r="E22" s="8"/>
      <c r="F22" s="8"/>
      <c r="G22" s="6"/>
      <c r="H22" s="11" t="str">
        <f>IF(B22="","",IF(G22="В месяц",MAX(1,SUMIF('Технические данные'!$F$12:$F$19,"TERM_MONTHS",'Технические данные'!$I$12:$I$19)),1))</f>
        <v/>
      </c>
      <c r="I22" s="10" t="str">
        <f t="shared" si="0"/>
        <v/>
      </c>
      <c r="J22" s="10" t="str">
        <f>IF(B22="","",IF(F22&lt;&gt;"",C22*F22*H22,IF(IFERROR(VLOOKUP(Ввод!$B$5,'Справочник типов'!$A$2:$J$27,10,0),"По наценке")="По марже",IF(SUMIF('Технические данные'!$F$12:$F$19,"TARGET_MARGIN",'Технические данные'!$I$12:$I$19)&lt;1,I22/(1-SUMIF('Технические данные'!$F$12:$F$19,"TARGET_MARGIN",'Технические данные'!$I$12:$I$19)),0),I22*(1+SUMIF('Технические данные'!$F$12:$F$19,"MARKUP",'Технические данные'!$I$12:$I$19)))))</f>
        <v/>
      </c>
      <c r="K22" s="4"/>
    </row>
    <row r="23" spans="1:11" x14ac:dyDescent="0.3">
      <c r="A23" s="6"/>
      <c r="B23" s="5"/>
      <c r="C23" s="6"/>
      <c r="D23" s="6"/>
      <c r="E23" s="8"/>
      <c r="F23" s="8"/>
      <c r="G23" s="6"/>
      <c r="H23" s="11" t="str">
        <f>IF(B23="","",IF(G23="В месяц",MAX(1,SUMIF('Технические данные'!$F$12:$F$19,"TERM_MONTHS",'Технические данные'!$I$12:$I$19)),1))</f>
        <v/>
      </c>
      <c r="I23" s="10" t="str">
        <f t="shared" si="0"/>
        <v/>
      </c>
      <c r="J23" s="10" t="str">
        <f>IF(B23="","",IF(F23&lt;&gt;"",C23*F23*H23,IF(IFERROR(VLOOKUP(Ввод!$B$5,'Справочник типов'!$A$2:$J$27,10,0),"По наценке")="По марже",IF(SUMIF('Технические данные'!$F$12:$F$19,"TARGET_MARGIN",'Технические данные'!$I$12:$I$19)&lt;1,I23/(1-SUMIF('Технические данные'!$F$12:$F$19,"TARGET_MARGIN",'Технические данные'!$I$12:$I$19)),0),I23*(1+SUMIF('Технические данные'!$F$12:$F$19,"MARKUP",'Технические данные'!$I$12:$I$19)))))</f>
        <v/>
      </c>
      <c r="K23" s="4"/>
    </row>
    <row r="24" spans="1:11" x14ac:dyDescent="0.3">
      <c r="A24" s="6"/>
      <c r="B24" s="5"/>
      <c r="C24" s="6"/>
      <c r="D24" s="6"/>
      <c r="E24" s="8"/>
      <c r="F24" s="8"/>
      <c r="G24" s="6"/>
      <c r="H24" s="11" t="str">
        <f>IF(B24="","",IF(G24="В месяц",MAX(1,SUMIF('Технические данные'!$F$12:$F$19,"TERM_MONTHS",'Технические данные'!$I$12:$I$19)),1))</f>
        <v/>
      </c>
      <c r="I24" s="10" t="str">
        <f t="shared" si="0"/>
        <v/>
      </c>
      <c r="J24" s="10" t="str">
        <f>IF(B24="","",IF(F24&lt;&gt;"",C24*F24*H24,IF(IFERROR(VLOOKUP(Ввод!$B$5,'Справочник типов'!$A$2:$J$27,10,0),"По наценке")="По марже",IF(SUMIF('Технические данные'!$F$12:$F$19,"TARGET_MARGIN",'Технические данные'!$I$12:$I$19)&lt;1,I24/(1-SUMIF('Технические данные'!$F$12:$F$19,"TARGET_MARGIN",'Технические данные'!$I$12:$I$19)),0),I24*(1+SUMIF('Технические данные'!$F$12:$F$19,"MARKUP",'Технические данные'!$I$12:$I$19)))))</f>
        <v/>
      </c>
      <c r="K24" s="4"/>
    </row>
    <row r="25" spans="1:11" x14ac:dyDescent="0.3">
      <c r="A25" s="6"/>
      <c r="B25" s="5"/>
      <c r="C25" s="6"/>
      <c r="D25" s="6"/>
      <c r="E25" s="8"/>
      <c r="F25" s="8"/>
      <c r="G25" s="6"/>
      <c r="H25" s="11" t="str">
        <f>IF(B25="","",IF(G25="В месяц",MAX(1,SUMIF('Технические данные'!$F$12:$F$19,"TERM_MONTHS",'Технические данные'!$I$12:$I$19)),1))</f>
        <v/>
      </c>
      <c r="I25" s="10" t="str">
        <f t="shared" si="0"/>
        <v/>
      </c>
      <c r="J25" s="10" t="str">
        <f>IF(B25="","",IF(F25&lt;&gt;"",C25*F25*H25,IF(IFERROR(VLOOKUP(Ввод!$B$5,'Справочник типов'!$A$2:$J$27,10,0),"По наценке")="По марже",IF(SUMIF('Технические данные'!$F$12:$F$19,"TARGET_MARGIN",'Технические данные'!$I$12:$I$19)&lt;1,I25/(1-SUMIF('Технические данные'!$F$12:$F$19,"TARGET_MARGIN",'Технические данные'!$I$12:$I$19)),0),I25*(1+SUMIF('Технические данные'!$F$12:$F$19,"MARKUP",'Технические данные'!$I$12:$I$19)))))</f>
        <v/>
      </c>
      <c r="K25" s="4"/>
    </row>
  </sheetData>
  <mergeCells count="2">
    <mergeCell ref="A1:K1"/>
    <mergeCell ref="A3:K3"/>
  </mergeCells>
  <dataValidations count="2">
    <dataValidation type="list" sqref="A6:A25" xr:uid="{00000000-0002-0000-0300-000000000000}">
      <formula1>"Оборудование,ПО,Лицензии,Облако,Подряд,Логистика,Командировки,Прочее"</formula1>
      <formula2>0</formula2>
    </dataValidation>
    <dataValidation type="list" sqref="G6:G25" xr:uid="{00000000-0002-0000-0300-000001000000}">
      <formula1>"Разово,В месяц"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showGridLines="0" workbookViewId="0"/>
  </sheetViews>
  <sheetFormatPr defaultColWidth="8.5546875" defaultRowHeight="14.4" x14ac:dyDescent="0.3"/>
  <cols>
    <col min="1" max="1" width="24" customWidth="1"/>
    <col min="2" max="2" width="12" customWidth="1"/>
    <col min="3" max="3" width="30" customWidth="1"/>
    <col min="4" max="4" width="48" customWidth="1"/>
    <col min="5" max="5" width="18" customWidth="1"/>
    <col min="6" max="6" width="16" customWidth="1"/>
    <col min="7" max="7" width="18" customWidth="1"/>
    <col min="8" max="10" width="22" customWidth="1"/>
  </cols>
  <sheetData>
    <row r="1" spans="1:10" ht="25.2" x14ac:dyDescent="0.3">
      <c r="A1" s="2" t="s">
        <v>86</v>
      </c>
      <c r="B1" s="2" t="s">
        <v>87</v>
      </c>
      <c r="C1" s="2" t="s">
        <v>88</v>
      </c>
      <c r="D1" s="2" t="s">
        <v>78</v>
      </c>
      <c r="E1" s="2" t="s">
        <v>77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</row>
    <row r="2" spans="1:10" ht="25.2" x14ac:dyDescent="0.3">
      <c r="A2" s="4" t="s">
        <v>94</v>
      </c>
      <c r="B2" s="4" t="s">
        <v>95</v>
      </c>
      <c r="C2" s="4" t="s">
        <v>96</v>
      </c>
      <c r="D2" s="4" t="s">
        <v>97</v>
      </c>
      <c r="E2" s="4" t="s">
        <v>98</v>
      </c>
      <c r="F2" s="3">
        <v>12</v>
      </c>
      <c r="G2" s="4" t="s">
        <v>99</v>
      </c>
      <c r="H2" s="4" t="s">
        <v>100</v>
      </c>
      <c r="I2" s="4" t="s">
        <v>101</v>
      </c>
      <c r="J2" s="4" t="s">
        <v>102</v>
      </c>
    </row>
    <row r="3" spans="1:10" x14ac:dyDescent="0.3">
      <c r="A3" s="4" t="s">
        <v>103</v>
      </c>
      <c r="B3" s="4" t="s">
        <v>95</v>
      </c>
      <c r="C3" s="4" t="s">
        <v>104</v>
      </c>
      <c r="D3" s="4" t="s">
        <v>105</v>
      </c>
      <c r="E3" s="4" t="s">
        <v>98</v>
      </c>
      <c r="F3" s="3">
        <v>6</v>
      </c>
      <c r="G3" s="4" t="s">
        <v>106</v>
      </c>
      <c r="H3" s="4" t="s">
        <v>100</v>
      </c>
      <c r="I3" s="4" t="s">
        <v>101</v>
      </c>
      <c r="J3" s="4" t="s">
        <v>102</v>
      </c>
    </row>
    <row r="4" spans="1:10" ht="25.2" x14ac:dyDescent="0.3">
      <c r="A4" s="4" t="s">
        <v>107</v>
      </c>
      <c r="B4" s="4" t="s">
        <v>95</v>
      </c>
      <c r="C4" s="4" t="s">
        <v>108</v>
      </c>
      <c r="D4" s="4" t="s">
        <v>109</v>
      </c>
      <c r="E4" s="4" t="s">
        <v>98</v>
      </c>
      <c r="F4" s="3">
        <v>12</v>
      </c>
      <c r="G4" s="4" t="s">
        <v>99</v>
      </c>
      <c r="H4" s="4" t="s">
        <v>100</v>
      </c>
      <c r="I4" s="4" t="s">
        <v>101</v>
      </c>
      <c r="J4" s="4" t="s">
        <v>102</v>
      </c>
    </row>
    <row r="5" spans="1:10" ht="25.2" x14ac:dyDescent="0.3">
      <c r="A5" s="4" t="s">
        <v>110</v>
      </c>
      <c r="B5" s="4" t="s">
        <v>95</v>
      </c>
      <c r="C5" s="4" t="s">
        <v>111</v>
      </c>
      <c r="D5" s="4" t="s">
        <v>112</v>
      </c>
      <c r="E5" s="4" t="s">
        <v>98</v>
      </c>
      <c r="F5" s="3">
        <v>12</v>
      </c>
      <c r="G5" s="4" t="s">
        <v>99</v>
      </c>
      <c r="H5" s="4" t="s">
        <v>100</v>
      </c>
      <c r="I5" s="4" t="s">
        <v>101</v>
      </c>
      <c r="J5" s="4" t="s">
        <v>102</v>
      </c>
    </row>
    <row r="6" spans="1:10" ht="25.2" x14ac:dyDescent="0.3">
      <c r="A6" s="4" t="s">
        <v>113</v>
      </c>
      <c r="B6" s="4" t="s">
        <v>95</v>
      </c>
      <c r="C6" s="4" t="s">
        <v>114</v>
      </c>
      <c r="D6" s="4" t="s">
        <v>115</v>
      </c>
      <c r="E6" s="4" t="s">
        <v>98</v>
      </c>
      <c r="F6" s="3">
        <v>12</v>
      </c>
      <c r="G6" s="4" t="s">
        <v>99</v>
      </c>
      <c r="H6" s="4" t="s">
        <v>100</v>
      </c>
      <c r="I6" s="4" t="s">
        <v>101</v>
      </c>
      <c r="J6" s="4" t="s">
        <v>102</v>
      </c>
    </row>
    <row r="7" spans="1:10" ht="25.2" x14ac:dyDescent="0.3">
      <c r="A7" s="4" t="s">
        <v>116</v>
      </c>
      <c r="B7" s="4" t="s">
        <v>95</v>
      </c>
      <c r="C7" s="4" t="s">
        <v>117</v>
      </c>
      <c r="D7" s="4" t="s">
        <v>118</v>
      </c>
      <c r="E7" s="4" t="s">
        <v>98</v>
      </c>
      <c r="F7" s="3">
        <v>12</v>
      </c>
      <c r="G7" s="4" t="s">
        <v>99</v>
      </c>
      <c r="H7" s="4" t="s">
        <v>119</v>
      </c>
      <c r="I7" s="4" t="s">
        <v>101</v>
      </c>
      <c r="J7" s="4" t="s">
        <v>120</v>
      </c>
    </row>
    <row r="8" spans="1:10" ht="25.2" x14ac:dyDescent="0.3">
      <c r="A8" s="4" t="s">
        <v>121</v>
      </c>
      <c r="B8" s="4" t="s">
        <v>95</v>
      </c>
      <c r="C8" s="4" t="s">
        <v>122</v>
      </c>
      <c r="D8" s="4" t="s">
        <v>123</v>
      </c>
      <c r="E8" s="4" t="s">
        <v>98</v>
      </c>
      <c r="F8" s="3">
        <v>3</v>
      </c>
      <c r="G8" s="4" t="s">
        <v>106</v>
      </c>
      <c r="H8" s="4" t="s">
        <v>124</v>
      </c>
      <c r="I8" s="4" t="s">
        <v>37</v>
      </c>
      <c r="J8" s="4" t="s">
        <v>102</v>
      </c>
    </row>
    <row r="9" spans="1:10" ht="25.2" x14ac:dyDescent="0.3">
      <c r="A9" s="4" t="s">
        <v>125</v>
      </c>
      <c r="B9" s="4" t="s">
        <v>95</v>
      </c>
      <c r="C9" s="4" t="s">
        <v>126</v>
      </c>
      <c r="D9" s="4" t="s">
        <v>127</v>
      </c>
      <c r="E9" s="4" t="s">
        <v>98</v>
      </c>
      <c r="F9" s="3">
        <v>3</v>
      </c>
      <c r="G9" s="4" t="s">
        <v>106</v>
      </c>
      <c r="H9" s="4" t="s">
        <v>128</v>
      </c>
      <c r="I9" s="4" t="s">
        <v>37</v>
      </c>
      <c r="J9" s="4" t="s">
        <v>102</v>
      </c>
    </row>
    <row r="10" spans="1:10" ht="25.2" x14ac:dyDescent="0.3">
      <c r="A10" s="4" t="s">
        <v>129</v>
      </c>
      <c r="B10" s="4" t="s">
        <v>95</v>
      </c>
      <c r="C10" s="4" t="s">
        <v>130</v>
      </c>
      <c r="D10" s="4" t="s">
        <v>131</v>
      </c>
      <c r="E10" s="4" t="s">
        <v>98</v>
      </c>
      <c r="F10" s="3">
        <v>3</v>
      </c>
      <c r="G10" s="4" t="s">
        <v>106</v>
      </c>
      <c r="H10" s="4" t="s">
        <v>132</v>
      </c>
      <c r="I10" s="4" t="s">
        <v>37</v>
      </c>
      <c r="J10" s="4" t="s">
        <v>102</v>
      </c>
    </row>
    <row r="11" spans="1:10" ht="25.2" x14ac:dyDescent="0.3">
      <c r="A11" s="4" t="s">
        <v>133</v>
      </c>
      <c r="B11" s="4" t="s">
        <v>95</v>
      </c>
      <c r="C11" s="4" t="s">
        <v>134</v>
      </c>
      <c r="D11" s="4" t="s">
        <v>135</v>
      </c>
      <c r="E11" s="4" t="s">
        <v>98</v>
      </c>
      <c r="F11" s="3">
        <v>3</v>
      </c>
      <c r="G11" s="4" t="s">
        <v>106</v>
      </c>
      <c r="H11" s="4" t="s">
        <v>128</v>
      </c>
      <c r="I11" s="4" t="s">
        <v>37</v>
      </c>
      <c r="J11" s="4" t="s">
        <v>102</v>
      </c>
    </row>
    <row r="12" spans="1:10" x14ac:dyDescent="0.3">
      <c r="A12" s="4" t="s">
        <v>136</v>
      </c>
      <c r="B12" s="4" t="s">
        <v>95</v>
      </c>
      <c r="C12" s="4" t="s">
        <v>137</v>
      </c>
      <c r="D12" s="4" t="s">
        <v>138</v>
      </c>
      <c r="E12" s="4" t="s">
        <v>139</v>
      </c>
      <c r="F12" s="3">
        <v>12</v>
      </c>
      <c r="G12" s="4" t="s">
        <v>99</v>
      </c>
      <c r="H12" s="4" t="s">
        <v>140</v>
      </c>
      <c r="I12" s="4" t="s">
        <v>101</v>
      </c>
      <c r="J12" s="4" t="s">
        <v>120</v>
      </c>
    </row>
    <row r="13" spans="1:10" ht="25.2" x14ac:dyDescent="0.3">
      <c r="A13" s="4" t="s">
        <v>141</v>
      </c>
      <c r="B13" s="4" t="s">
        <v>95</v>
      </c>
      <c r="C13" s="4" t="s">
        <v>142</v>
      </c>
      <c r="D13" s="4" t="s">
        <v>143</v>
      </c>
      <c r="E13" s="4" t="s">
        <v>139</v>
      </c>
      <c r="F13" s="3">
        <v>12</v>
      </c>
      <c r="G13" s="4" t="s">
        <v>99</v>
      </c>
      <c r="H13" s="4" t="s">
        <v>140</v>
      </c>
      <c r="I13" s="4" t="s">
        <v>101</v>
      </c>
      <c r="J13" s="4" t="s">
        <v>120</v>
      </c>
    </row>
    <row r="14" spans="1:10" x14ac:dyDescent="0.3">
      <c r="A14" s="4" t="s">
        <v>144</v>
      </c>
      <c r="B14" s="4" t="s">
        <v>95</v>
      </c>
      <c r="C14" s="4" t="s">
        <v>145</v>
      </c>
      <c r="D14" s="4" t="s">
        <v>146</v>
      </c>
      <c r="E14" s="4" t="s">
        <v>139</v>
      </c>
      <c r="F14" s="3">
        <v>12</v>
      </c>
      <c r="G14" s="4" t="s">
        <v>99</v>
      </c>
      <c r="H14" s="4" t="s">
        <v>140</v>
      </c>
      <c r="I14" s="4" t="s">
        <v>101</v>
      </c>
      <c r="J14" s="4" t="s">
        <v>120</v>
      </c>
    </row>
    <row r="15" spans="1:10" ht="25.2" x14ac:dyDescent="0.3">
      <c r="A15" s="4" t="s">
        <v>147</v>
      </c>
      <c r="B15" s="4" t="s">
        <v>95</v>
      </c>
      <c r="C15" s="4" t="s">
        <v>148</v>
      </c>
      <c r="D15" s="4" t="s">
        <v>149</v>
      </c>
      <c r="E15" s="4" t="s">
        <v>139</v>
      </c>
      <c r="F15" s="3">
        <v>12</v>
      </c>
      <c r="G15" s="4" t="s">
        <v>99</v>
      </c>
      <c r="H15" s="4" t="s">
        <v>150</v>
      </c>
      <c r="I15" s="4" t="s">
        <v>101</v>
      </c>
      <c r="J15" s="4" t="s">
        <v>120</v>
      </c>
    </row>
    <row r="16" spans="1:10" x14ac:dyDescent="0.3">
      <c r="A16" s="4" t="s">
        <v>151</v>
      </c>
      <c r="B16" s="4" t="s">
        <v>95</v>
      </c>
      <c r="C16" s="4" t="s">
        <v>152</v>
      </c>
      <c r="D16" s="4" t="s">
        <v>153</v>
      </c>
      <c r="E16" s="4" t="s">
        <v>98</v>
      </c>
      <c r="F16" s="3">
        <v>12</v>
      </c>
      <c r="G16" s="4" t="s">
        <v>99</v>
      </c>
      <c r="H16" s="4" t="s">
        <v>100</v>
      </c>
      <c r="I16" s="4" t="s">
        <v>101</v>
      </c>
      <c r="J16" s="4" t="s">
        <v>102</v>
      </c>
    </row>
    <row r="17" spans="1:10" ht="25.2" x14ac:dyDescent="0.3">
      <c r="A17" s="4" t="s">
        <v>154</v>
      </c>
      <c r="B17" s="4" t="s">
        <v>95</v>
      </c>
      <c r="C17" s="4" t="s">
        <v>155</v>
      </c>
      <c r="D17" s="4" t="s">
        <v>156</v>
      </c>
      <c r="E17" s="4" t="s">
        <v>157</v>
      </c>
      <c r="F17" s="3">
        <v>1</v>
      </c>
      <c r="G17" s="4" t="s">
        <v>106</v>
      </c>
      <c r="H17" s="4" t="s">
        <v>158</v>
      </c>
      <c r="I17" s="4" t="s">
        <v>37</v>
      </c>
      <c r="J17" s="4" t="s">
        <v>120</v>
      </c>
    </row>
    <row r="18" spans="1:10" ht="25.2" x14ac:dyDescent="0.3">
      <c r="A18" s="4" t="s">
        <v>159</v>
      </c>
      <c r="B18" s="4" t="s">
        <v>95</v>
      </c>
      <c r="C18" s="4" t="s">
        <v>160</v>
      </c>
      <c r="D18" s="4" t="s">
        <v>161</v>
      </c>
      <c r="E18" s="4" t="s">
        <v>98</v>
      </c>
      <c r="F18" s="3">
        <v>4</v>
      </c>
      <c r="G18" s="4" t="s">
        <v>106</v>
      </c>
      <c r="H18" s="4" t="s">
        <v>132</v>
      </c>
      <c r="I18" s="4" t="s">
        <v>37</v>
      </c>
      <c r="J18" s="4" t="s">
        <v>102</v>
      </c>
    </row>
    <row r="19" spans="1:10" x14ac:dyDescent="0.3">
      <c r="A19" s="4" t="s">
        <v>162</v>
      </c>
      <c r="B19" s="4" t="s">
        <v>95</v>
      </c>
      <c r="C19" s="4" t="s">
        <v>163</v>
      </c>
      <c r="D19" s="4" t="s">
        <v>164</v>
      </c>
      <c r="E19" s="4" t="s">
        <v>165</v>
      </c>
      <c r="F19" s="3">
        <v>2</v>
      </c>
      <c r="G19" s="4" t="s">
        <v>106</v>
      </c>
      <c r="H19" s="4" t="s">
        <v>166</v>
      </c>
      <c r="I19" s="4" t="s">
        <v>37</v>
      </c>
      <c r="J19" s="4" t="s">
        <v>120</v>
      </c>
    </row>
    <row r="20" spans="1:10" ht="25.2" x14ac:dyDescent="0.3">
      <c r="A20" s="4" t="s">
        <v>167</v>
      </c>
      <c r="B20" s="4" t="s">
        <v>95</v>
      </c>
      <c r="C20" s="4" t="s">
        <v>168</v>
      </c>
      <c r="D20" s="4" t="s">
        <v>169</v>
      </c>
      <c r="E20" s="4" t="s">
        <v>157</v>
      </c>
      <c r="F20" s="3">
        <v>2</v>
      </c>
      <c r="G20" s="4" t="s">
        <v>106</v>
      </c>
      <c r="H20" s="4" t="s">
        <v>166</v>
      </c>
      <c r="I20" s="4" t="s">
        <v>37</v>
      </c>
      <c r="J20" s="4" t="s">
        <v>120</v>
      </c>
    </row>
    <row r="21" spans="1:10" ht="25.2" x14ac:dyDescent="0.3">
      <c r="A21" s="4" t="s">
        <v>170</v>
      </c>
      <c r="B21" s="4" t="s">
        <v>95</v>
      </c>
      <c r="C21" s="4" t="s">
        <v>171</v>
      </c>
      <c r="D21" s="4" t="s">
        <v>172</v>
      </c>
      <c r="E21" s="4" t="s">
        <v>98</v>
      </c>
      <c r="F21" s="3">
        <v>12</v>
      </c>
      <c r="G21" s="4" t="s">
        <v>99</v>
      </c>
      <c r="H21" s="4" t="s">
        <v>173</v>
      </c>
      <c r="I21" s="4" t="s">
        <v>101</v>
      </c>
      <c r="J21" s="4" t="s">
        <v>120</v>
      </c>
    </row>
    <row r="22" spans="1:10" x14ac:dyDescent="0.3">
      <c r="A22" s="4" t="s">
        <v>174</v>
      </c>
      <c r="B22" s="4" t="s">
        <v>175</v>
      </c>
      <c r="C22" s="4" t="s">
        <v>176</v>
      </c>
      <c r="D22" s="4" t="s">
        <v>177</v>
      </c>
      <c r="E22" s="4" t="s">
        <v>98</v>
      </c>
      <c r="F22" s="3">
        <v>3</v>
      </c>
      <c r="G22" s="4" t="s">
        <v>106</v>
      </c>
      <c r="H22" s="4" t="s">
        <v>124</v>
      </c>
      <c r="I22" s="4" t="s">
        <v>37</v>
      </c>
      <c r="J22" s="4" t="s">
        <v>102</v>
      </c>
    </row>
    <row r="23" spans="1:10" ht="25.2" x14ac:dyDescent="0.3">
      <c r="A23" s="4" t="s">
        <v>178</v>
      </c>
      <c r="B23" s="4" t="s">
        <v>175</v>
      </c>
      <c r="C23" s="4" t="s">
        <v>179</v>
      </c>
      <c r="D23" s="4" t="s">
        <v>180</v>
      </c>
      <c r="E23" s="4" t="s">
        <v>98</v>
      </c>
      <c r="F23" s="3">
        <v>12</v>
      </c>
      <c r="G23" s="4" t="s">
        <v>99</v>
      </c>
      <c r="H23" s="4" t="s">
        <v>100</v>
      </c>
      <c r="I23" s="4" t="s">
        <v>101</v>
      </c>
      <c r="J23" s="4" t="s">
        <v>102</v>
      </c>
    </row>
    <row r="24" spans="1:10" ht="25.2" x14ac:dyDescent="0.3">
      <c r="A24" s="4" t="s">
        <v>181</v>
      </c>
      <c r="B24" s="4" t="s">
        <v>175</v>
      </c>
      <c r="C24" s="4" t="s">
        <v>182</v>
      </c>
      <c r="D24" s="4" t="s">
        <v>183</v>
      </c>
      <c r="E24" s="4" t="s">
        <v>98</v>
      </c>
      <c r="F24" s="3">
        <v>6</v>
      </c>
      <c r="G24" s="4" t="s">
        <v>106</v>
      </c>
      <c r="H24" s="4" t="s">
        <v>132</v>
      </c>
      <c r="I24" s="4" t="s">
        <v>37</v>
      </c>
      <c r="J24" s="4" t="s">
        <v>102</v>
      </c>
    </row>
    <row r="25" spans="1:10" ht="25.2" x14ac:dyDescent="0.3">
      <c r="A25" s="4" t="s">
        <v>184</v>
      </c>
      <c r="B25" s="4" t="s">
        <v>175</v>
      </c>
      <c r="C25" s="4" t="s">
        <v>163</v>
      </c>
      <c r="D25" s="4" t="s">
        <v>185</v>
      </c>
      <c r="E25" s="4" t="s">
        <v>165</v>
      </c>
      <c r="F25" s="3">
        <v>2</v>
      </c>
      <c r="G25" s="4" t="s">
        <v>106</v>
      </c>
      <c r="H25" s="4" t="s">
        <v>166</v>
      </c>
      <c r="I25" s="4" t="s">
        <v>37</v>
      </c>
      <c r="J25" s="4" t="s">
        <v>120</v>
      </c>
    </row>
    <row r="26" spans="1:10" ht="25.2" x14ac:dyDescent="0.3">
      <c r="A26" s="4" t="s">
        <v>186</v>
      </c>
      <c r="B26" s="4" t="s">
        <v>175</v>
      </c>
      <c r="C26" s="4" t="s">
        <v>187</v>
      </c>
      <c r="D26" s="4" t="s">
        <v>169</v>
      </c>
      <c r="E26" s="4" t="s">
        <v>157</v>
      </c>
      <c r="F26" s="3">
        <v>2</v>
      </c>
      <c r="G26" s="4" t="s">
        <v>106</v>
      </c>
      <c r="H26" s="4" t="s">
        <v>166</v>
      </c>
      <c r="I26" s="4" t="s">
        <v>37</v>
      </c>
      <c r="J26" s="4" t="s">
        <v>120</v>
      </c>
    </row>
    <row r="27" spans="1:10" x14ac:dyDescent="0.3">
      <c r="A27" s="4" t="s">
        <v>188</v>
      </c>
      <c r="B27" s="4" t="s">
        <v>175</v>
      </c>
      <c r="C27" s="4" t="s">
        <v>96</v>
      </c>
      <c r="D27" s="4" t="s">
        <v>189</v>
      </c>
      <c r="E27" s="4" t="s">
        <v>98</v>
      </c>
      <c r="F27" s="3">
        <v>4</v>
      </c>
      <c r="G27" s="4" t="s">
        <v>106</v>
      </c>
      <c r="H27" s="4" t="s">
        <v>100</v>
      </c>
      <c r="I27" s="4" t="s">
        <v>101</v>
      </c>
      <c r="J27" s="4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9"/>
  <sheetViews>
    <sheetView showGridLines="0" workbookViewId="0"/>
  </sheetViews>
  <sheetFormatPr defaultColWidth="8.5546875" defaultRowHeight="14.4" x14ac:dyDescent="0.3"/>
  <cols>
    <col min="1" max="1" width="25" customWidth="1"/>
    <col min="2" max="2" width="8" customWidth="1"/>
    <col min="3" max="3" width="34" customWidth="1"/>
    <col min="4" max="4" width="14" customWidth="1"/>
    <col min="5" max="5" width="20" customWidth="1"/>
    <col min="6" max="6" width="13" customWidth="1"/>
    <col min="7" max="7" width="20" customWidth="1"/>
    <col min="8" max="8" width="50" customWidth="1"/>
  </cols>
  <sheetData>
    <row r="1" spans="1:8" ht="25.2" x14ac:dyDescent="0.3">
      <c r="A1" s="2" t="s">
        <v>86</v>
      </c>
      <c r="B1" s="2" t="s">
        <v>190</v>
      </c>
      <c r="C1" s="2" t="s">
        <v>42</v>
      </c>
      <c r="D1" s="2" t="s">
        <v>43</v>
      </c>
      <c r="E1" s="2" t="s">
        <v>191</v>
      </c>
      <c r="F1" s="2" t="s">
        <v>192</v>
      </c>
      <c r="G1" s="2" t="s">
        <v>193</v>
      </c>
      <c r="H1" s="2" t="s">
        <v>194</v>
      </c>
    </row>
    <row r="2" spans="1:8" x14ac:dyDescent="0.3">
      <c r="A2" s="3" t="s">
        <v>94</v>
      </c>
      <c r="B2" s="3">
        <v>1</v>
      </c>
      <c r="C2" s="4" t="s">
        <v>195</v>
      </c>
      <c r="D2" s="4" t="s">
        <v>196</v>
      </c>
      <c r="E2" s="4">
        <v>1</v>
      </c>
      <c r="F2" s="4" t="s">
        <v>197</v>
      </c>
      <c r="G2" s="4" t="s">
        <v>198</v>
      </c>
      <c r="H2" s="4" t="s">
        <v>199</v>
      </c>
    </row>
    <row r="3" spans="1:8" x14ac:dyDescent="0.3">
      <c r="A3" s="3" t="s">
        <v>94</v>
      </c>
      <c r="B3" s="3">
        <v>2</v>
      </c>
      <c r="C3" s="4" t="s">
        <v>200</v>
      </c>
      <c r="D3" s="4" t="s">
        <v>201</v>
      </c>
      <c r="E3" s="4">
        <v>12</v>
      </c>
      <c r="F3" s="4" t="s">
        <v>197</v>
      </c>
      <c r="G3" s="4" t="s">
        <v>202</v>
      </c>
      <c r="H3" s="4" t="s">
        <v>203</v>
      </c>
    </row>
    <row r="4" spans="1:8" x14ac:dyDescent="0.3">
      <c r="A4" s="3" t="s">
        <v>94</v>
      </c>
      <c r="B4" s="3">
        <v>3</v>
      </c>
      <c r="C4" s="4" t="s">
        <v>204</v>
      </c>
      <c r="D4" s="4" t="s">
        <v>205</v>
      </c>
      <c r="E4" s="4">
        <v>40</v>
      </c>
      <c r="F4" s="4" t="s">
        <v>206</v>
      </c>
      <c r="G4" s="4" t="s">
        <v>207</v>
      </c>
      <c r="H4" s="4" t="s">
        <v>208</v>
      </c>
    </row>
    <row r="5" spans="1:8" x14ac:dyDescent="0.3">
      <c r="A5" s="3" t="s">
        <v>94</v>
      </c>
      <c r="B5" s="3">
        <v>4</v>
      </c>
      <c r="C5" s="4" t="s">
        <v>209</v>
      </c>
      <c r="D5" s="4" t="s">
        <v>196</v>
      </c>
      <c r="E5" s="4"/>
      <c r="F5" s="4" t="s">
        <v>206</v>
      </c>
      <c r="G5" s="4" t="s">
        <v>207</v>
      </c>
      <c r="H5" s="4" t="s">
        <v>210</v>
      </c>
    </row>
    <row r="6" spans="1:8" x14ac:dyDescent="0.3">
      <c r="A6" s="3" t="s">
        <v>94</v>
      </c>
      <c r="B6" s="3">
        <v>5</v>
      </c>
      <c r="C6" s="4" t="s">
        <v>211</v>
      </c>
      <c r="D6" s="4" t="s">
        <v>212</v>
      </c>
      <c r="E6" s="4"/>
      <c r="F6" s="4" t="s">
        <v>206</v>
      </c>
      <c r="G6" s="4" t="s">
        <v>207</v>
      </c>
      <c r="H6" s="4" t="s">
        <v>213</v>
      </c>
    </row>
    <row r="7" spans="1:8" x14ac:dyDescent="0.3">
      <c r="A7" s="3" t="s">
        <v>94</v>
      </c>
      <c r="B7" s="3">
        <v>6</v>
      </c>
      <c r="C7" s="4" t="s">
        <v>214</v>
      </c>
      <c r="D7" s="4" t="s">
        <v>215</v>
      </c>
      <c r="E7" s="4">
        <v>1</v>
      </c>
      <c r="F7" s="4" t="s">
        <v>197</v>
      </c>
      <c r="G7" s="4" t="s">
        <v>216</v>
      </c>
      <c r="H7" s="4" t="s">
        <v>217</v>
      </c>
    </row>
    <row r="8" spans="1:8" x14ac:dyDescent="0.3">
      <c r="A8" s="3" t="s">
        <v>94</v>
      </c>
      <c r="B8" s="3">
        <v>7</v>
      </c>
      <c r="C8" s="4" t="s">
        <v>218</v>
      </c>
      <c r="D8" s="4" t="s">
        <v>219</v>
      </c>
      <c r="E8" s="4">
        <v>0</v>
      </c>
      <c r="F8" s="4" t="s">
        <v>206</v>
      </c>
      <c r="G8" s="4" t="s">
        <v>220</v>
      </c>
      <c r="H8" s="4" t="s">
        <v>221</v>
      </c>
    </row>
    <row r="9" spans="1:8" x14ac:dyDescent="0.3">
      <c r="A9" s="3" t="s">
        <v>94</v>
      </c>
      <c r="B9" s="3">
        <v>8</v>
      </c>
      <c r="C9" s="4" t="s">
        <v>222</v>
      </c>
      <c r="D9" s="4" t="s">
        <v>219</v>
      </c>
      <c r="E9" s="4">
        <v>0</v>
      </c>
      <c r="F9" s="4" t="s">
        <v>206</v>
      </c>
      <c r="G9" s="4" t="s">
        <v>223</v>
      </c>
      <c r="H9" s="4" t="s">
        <v>224</v>
      </c>
    </row>
    <row r="10" spans="1:8" x14ac:dyDescent="0.3">
      <c r="A10" s="3" t="s">
        <v>103</v>
      </c>
      <c r="B10" s="3">
        <v>1</v>
      </c>
      <c r="C10" s="4" t="s">
        <v>225</v>
      </c>
      <c r="D10" s="4" t="s">
        <v>196</v>
      </c>
      <c r="E10" s="4">
        <v>1</v>
      </c>
      <c r="F10" s="4" t="s">
        <v>197</v>
      </c>
      <c r="G10" s="4" t="s">
        <v>198</v>
      </c>
      <c r="H10" s="4" t="s">
        <v>199</v>
      </c>
    </row>
    <row r="11" spans="1:8" x14ac:dyDescent="0.3">
      <c r="A11" s="3" t="s">
        <v>103</v>
      </c>
      <c r="B11" s="3">
        <v>2</v>
      </c>
      <c r="C11" s="4" t="s">
        <v>200</v>
      </c>
      <c r="D11" s="4" t="s">
        <v>201</v>
      </c>
      <c r="E11" s="4">
        <v>6</v>
      </c>
      <c r="F11" s="4" t="s">
        <v>197</v>
      </c>
      <c r="G11" s="4" t="s">
        <v>202</v>
      </c>
      <c r="H11" s="4" t="s">
        <v>203</v>
      </c>
    </row>
    <row r="12" spans="1:8" x14ac:dyDescent="0.3">
      <c r="A12" s="3" t="s">
        <v>103</v>
      </c>
      <c r="B12" s="3">
        <v>3</v>
      </c>
      <c r="C12" s="4" t="s">
        <v>204</v>
      </c>
      <c r="D12" s="4" t="s">
        <v>205</v>
      </c>
      <c r="E12" s="4">
        <v>40</v>
      </c>
      <c r="F12" s="4" t="s">
        <v>206</v>
      </c>
      <c r="G12" s="4" t="s">
        <v>207</v>
      </c>
      <c r="H12" s="4" t="s">
        <v>208</v>
      </c>
    </row>
    <row r="13" spans="1:8" x14ac:dyDescent="0.3">
      <c r="A13" s="3" t="s">
        <v>103</v>
      </c>
      <c r="B13" s="3">
        <v>4</v>
      </c>
      <c r="C13" s="4" t="s">
        <v>209</v>
      </c>
      <c r="D13" s="4" t="s">
        <v>196</v>
      </c>
      <c r="E13" s="4"/>
      <c r="F13" s="4" t="s">
        <v>206</v>
      </c>
      <c r="G13" s="4" t="s">
        <v>207</v>
      </c>
      <c r="H13" s="4" t="s">
        <v>210</v>
      </c>
    </row>
    <row r="14" spans="1:8" x14ac:dyDescent="0.3">
      <c r="A14" s="3" t="s">
        <v>103</v>
      </c>
      <c r="B14" s="3">
        <v>5</v>
      </c>
      <c r="C14" s="4" t="s">
        <v>211</v>
      </c>
      <c r="D14" s="4" t="s">
        <v>212</v>
      </c>
      <c r="E14" s="4"/>
      <c r="F14" s="4" t="s">
        <v>206</v>
      </c>
      <c r="G14" s="4" t="s">
        <v>207</v>
      </c>
      <c r="H14" s="4" t="s">
        <v>213</v>
      </c>
    </row>
    <row r="15" spans="1:8" x14ac:dyDescent="0.3">
      <c r="A15" s="3" t="s">
        <v>103</v>
      </c>
      <c r="B15" s="3">
        <v>6</v>
      </c>
      <c r="C15" s="4" t="s">
        <v>214</v>
      </c>
      <c r="D15" s="4" t="s">
        <v>215</v>
      </c>
      <c r="E15" s="4">
        <v>1</v>
      </c>
      <c r="F15" s="4" t="s">
        <v>197</v>
      </c>
      <c r="G15" s="4" t="s">
        <v>216</v>
      </c>
      <c r="H15" s="4" t="s">
        <v>217</v>
      </c>
    </row>
    <row r="16" spans="1:8" x14ac:dyDescent="0.3">
      <c r="A16" s="3" t="s">
        <v>103</v>
      </c>
      <c r="B16" s="3">
        <v>7</v>
      </c>
      <c r="C16" s="4" t="s">
        <v>218</v>
      </c>
      <c r="D16" s="4" t="s">
        <v>219</v>
      </c>
      <c r="E16" s="4">
        <v>0</v>
      </c>
      <c r="F16" s="4" t="s">
        <v>206</v>
      </c>
      <c r="G16" s="4" t="s">
        <v>220</v>
      </c>
      <c r="H16" s="4" t="s">
        <v>221</v>
      </c>
    </row>
    <row r="17" spans="1:8" x14ac:dyDescent="0.3">
      <c r="A17" s="3" t="s">
        <v>103</v>
      </c>
      <c r="B17" s="3">
        <v>8</v>
      </c>
      <c r="C17" s="4" t="s">
        <v>222</v>
      </c>
      <c r="D17" s="4" t="s">
        <v>219</v>
      </c>
      <c r="E17" s="4">
        <v>0</v>
      </c>
      <c r="F17" s="4" t="s">
        <v>206</v>
      </c>
      <c r="G17" s="4" t="s">
        <v>223</v>
      </c>
      <c r="H17" s="4" t="s">
        <v>224</v>
      </c>
    </row>
    <row r="18" spans="1:8" x14ac:dyDescent="0.3">
      <c r="A18" s="3" t="s">
        <v>107</v>
      </c>
      <c r="B18" s="3">
        <v>1</v>
      </c>
      <c r="C18" s="4" t="s">
        <v>226</v>
      </c>
      <c r="D18" s="4" t="s">
        <v>196</v>
      </c>
      <c r="E18" s="4">
        <v>1</v>
      </c>
      <c r="F18" s="4" t="s">
        <v>197</v>
      </c>
      <c r="G18" s="4" t="s">
        <v>198</v>
      </c>
      <c r="H18" s="4" t="s">
        <v>199</v>
      </c>
    </row>
    <row r="19" spans="1:8" x14ac:dyDescent="0.3">
      <c r="A19" s="3" t="s">
        <v>107</v>
      </c>
      <c r="B19" s="3">
        <v>2</v>
      </c>
      <c r="C19" s="4" t="s">
        <v>200</v>
      </c>
      <c r="D19" s="4" t="s">
        <v>201</v>
      </c>
      <c r="E19" s="4">
        <v>12</v>
      </c>
      <c r="F19" s="4" t="s">
        <v>197</v>
      </c>
      <c r="G19" s="4" t="s">
        <v>202</v>
      </c>
      <c r="H19" s="4" t="s">
        <v>203</v>
      </c>
    </row>
    <row r="20" spans="1:8" x14ac:dyDescent="0.3">
      <c r="A20" s="3" t="s">
        <v>107</v>
      </c>
      <c r="B20" s="3">
        <v>3</v>
      </c>
      <c r="C20" s="4" t="s">
        <v>204</v>
      </c>
      <c r="D20" s="4" t="s">
        <v>205</v>
      </c>
      <c r="E20" s="4">
        <v>40</v>
      </c>
      <c r="F20" s="4" t="s">
        <v>206</v>
      </c>
      <c r="G20" s="4" t="s">
        <v>207</v>
      </c>
      <c r="H20" s="4" t="s">
        <v>208</v>
      </c>
    </row>
    <row r="21" spans="1:8" x14ac:dyDescent="0.3">
      <c r="A21" s="3" t="s">
        <v>107</v>
      </c>
      <c r="B21" s="3">
        <v>4</v>
      </c>
      <c r="C21" s="4" t="s">
        <v>209</v>
      </c>
      <c r="D21" s="4" t="s">
        <v>196</v>
      </c>
      <c r="E21" s="4"/>
      <c r="F21" s="4" t="s">
        <v>206</v>
      </c>
      <c r="G21" s="4" t="s">
        <v>207</v>
      </c>
      <c r="H21" s="4" t="s">
        <v>210</v>
      </c>
    </row>
    <row r="22" spans="1:8" x14ac:dyDescent="0.3">
      <c r="A22" s="3" t="s">
        <v>107</v>
      </c>
      <c r="B22" s="3">
        <v>5</v>
      </c>
      <c r="C22" s="4" t="s">
        <v>211</v>
      </c>
      <c r="D22" s="4" t="s">
        <v>212</v>
      </c>
      <c r="E22" s="4"/>
      <c r="F22" s="4" t="s">
        <v>206</v>
      </c>
      <c r="G22" s="4" t="s">
        <v>207</v>
      </c>
      <c r="H22" s="4" t="s">
        <v>213</v>
      </c>
    </row>
    <row r="23" spans="1:8" x14ac:dyDescent="0.3">
      <c r="A23" s="3" t="s">
        <v>107</v>
      </c>
      <c r="B23" s="3">
        <v>6</v>
      </c>
      <c r="C23" s="4" t="s">
        <v>214</v>
      </c>
      <c r="D23" s="4" t="s">
        <v>215</v>
      </c>
      <c r="E23" s="4">
        <v>1</v>
      </c>
      <c r="F23" s="4" t="s">
        <v>197</v>
      </c>
      <c r="G23" s="4" t="s">
        <v>216</v>
      </c>
      <c r="H23" s="4" t="s">
        <v>217</v>
      </c>
    </row>
    <row r="24" spans="1:8" x14ac:dyDescent="0.3">
      <c r="A24" s="3" t="s">
        <v>107</v>
      </c>
      <c r="B24" s="3">
        <v>7</v>
      </c>
      <c r="C24" s="4" t="s">
        <v>218</v>
      </c>
      <c r="D24" s="4" t="s">
        <v>219</v>
      </c>
      <c r="E24" s="4">
        <v>0</v>
      </c>
      <c r="F24" s="4" t="s">
        <v>206</v>
      </c>
      <c r="G24" s="4" t="s">
        <v>220</v>
      </c>
      <c r="H24" s="4" t="s">
        <v>221</v>
      </c>
    </row>
    <row r="25" spans="1:8" x14ac:dyDescent="0.3">
      <c r="A25" s="3" t="s">
        <v>107</v>
      </c>
      <c r="B25" s="3">
        <v>8</v>
      </c>
      <c r="C25" s="4" t="s">
        <v>222</v>
      </c>
      <c r="D25" s="4" t="s">
        <v>219</v>
      </c>
      <c r="E25" s="4">
        <v>0</v>
      </c>
      <c r="F25" s="4" t="s">
        <v>206</v>
      </c>
      <c r="G25" s="4" t="s">
        <v>223</v>
      </c>
      <c r="H25" s="4" t="s">
        <v>224</v>
      </c>
    </row>
    <row r="26" spans="1:8" x14ac:dyDescent="0.3">
      <c r="A26" s="3" t="s">
        <v>110</v>
      </c>
      <c r="B26" s="3">
        <v>1</v>
      </c>
      <c r="C26" s="4" t="s">
        <v>227</v>
      </c>
      <c r="D26" s="4" t="s">
        <v>196</v>
      </c>
      <c r="E26" s="4">
        <v>1</v>
      </c>
      <c r="F26" s="4" t="s">
        <v>197</v>
      </c>
      <c r="G26" s="4" t="s">
        <v>198</v>
      </c>
      <c r="H26" s="4" t="s">
        <v>199</v>
      </c>
    </row>
    <row r="27" spans="1:8" x14ac:dyDescent="0.3">
      <c r="A27" s="3" t="s">
        <v>110</v>
      </c>
      <c r="B27" s="3">
        <v>2</v>
      </c>
      <c r="C27" s="4" t="s">
        <v>200</v>
      </c>
      <c r="D27" s="4" t="s">
        <v>201</v>
      </c>
      <c r="E27" s="4">
        <v>12</v>
      </c>
      <c r="F27" s="4" t="s">
        <v>197</v>
      </c>
      <c r="G27" s="4" t="s">
        <v>202</v>
      </c>
      <c r="H27" s="4" t="s">
        <v>203</v>
      </c>
    </row>
    <row r="28" spans="1:8" x14ac:dyDescent="0.3">
      <c r="A28" s="3" t="s">
        <v>110</v>
      </c>
      <c r="B28" s="3">
        <v>3</v>
      </c>
      <c r="C28" s="4" t="s">
        <v>204</v>
      </c>
      <c r="D28" s="4" t="s">
        <v>205</v>
      </c>
      <c r="E28" s="4">
        <v>40</v>
      </c>
      <c r="F28" s="4" t="s">
        <v>206</v>
      </c>
      <c r="G28" s="4" t="s">
        <v>207</v>
      </c>
      <c r="H28" s="4" t="s">
        <v>208</v>
      </c>
    </row>
    <row r="29" spans="1:8" x14ac:dyDescent="0.3">
      <c r="A29" s="3" t="s">
        <v>110</v>
      </c>
      <c r="B29" s="3">
        <v>4</v>
      </c>
      <c r="C29" s="4" t="s">
        <v>209</v>
      </c>
      <c r="D29" s="4" t="s">
        <v>196</v>
      </c>
      <c r="E29" s="4"/>
      <c r="F29" s="4" t="s">
        <v>206</v>
      </c>
      <c r="G29" s="4" t="s">
        <v>207</v>
      </c>
      <c r="H29" s="4" t="s">
        <v>210</v>
      </c>
    </row>
    <row r="30" spans="1:8" x14ac:dyDescent="0.3">
      <c r="A30" s="3" t="s">
        <v>110</v>
      </c>
      <c r="B30" s="3">
        <v>5</v>
      </c>
      <c r="C30" s="4" t="s">
        <v>211</v>
      </c>
      <c r="D30" s="4" t="s">
        <v>212</v>
      </c>
      <c r="E30" s="4"/>
      <c r="F30" s="4" t="s">
        <v>206</v>
      </c>
      <c r="G30" s="4" t="s">
        <v>207</v>
      </c>
      <c r="H30" s="4" t="s">
        <v>213</v>
      </c>
    </row>
    <row r="31" spans="1:8" x14ac:dyDescent="0.3">
      <c r="A31" s="3" t="s">
        <v>110</v>
      </c>
      <c r="B31" s="3">
        <v>6</v>
      </c>
      <c r="C31" s="4" t="s">
        <v>214</v>
      </c>
      <c r="D31" s="4" t="s">
        <v>215</v>
      </c>
      <c r="E31" s="4">
        <v>1</v>
      </c>
      <c r="F31" s="4" t="s">
        <v>197</v>
      </c>
      <c r="G31" s="4" t="s">
        <v>216</v>
      </c>
      <c r="H31" s="4" t="s">
        <v>217</v>
      </c>
    </row>
    <row r="32" spans="1:8" x14ac:dyDescent="0.3">
      <c r="A32" s="3" t="s">
        <v>110</v>
      </c>
      <c r="B32" s="3">
        <v>7</v>
      </c>
      <c r="C32" s="4" t="s">
        <v>218</v>
      </c>
      <c r="D32" s="4" t="s">
        <v>219</v>
      </c>
      <c r="E32" s="4">
        <v>0</v>
      </c>
      <c r="F32" s="4" t="s">
        <v>206</v>
      </c>
      <c r="G32" s="4" t="s">
        <v>220</v>
      </c>
      <c r="H32" s="4" t="s">
        <v>221</v>
      </c>
    </row>
    <row r="33" spans="1:8" x14ac:dyDescent="0.3">
      <c r="A33" s="3" t="s">
        <v>110</v>
      </c>
      <c r="B33" s="3">
        <v>8</v>
      </c>
      <c r="C33" s="4" t="s">
        <v>222</v>
      </c>
      <c r="D33" s="4" t="s">
        <v>219</v>
      </c>
      <c r="E33" s="4">
        <v>0</v>
      </c>
      <c r="F33" s="4" t="s">
        <v>206</v>
      </c>
      <c r="G33" s="4" t="s">
        <v>223</v>
      </c>
      <c r="H33" s="4" t="s">
        <v>224</v>
      </c>
    </row>
    <row r="34" spans="1:8" x14ac:dyDescent="0.3">
      <c r="A34" s="3" t="s">
        <v>113</v>
      </c>
      <c r="B34" s="3">
        <v>1</v>
      </c>
      <c r="C34" s="4" t="s">
        <v>228</v>
      </c>
      <c r="D34" s="4" t="s">
        <v>196</v>
      </c>
      <c r="E34" s="4">
        <v>1</v>
      </c>
      <c r="F34" s="4" t="s">
        <v>197</v>
      </c>
      <c r="G34" s="4" t="s">
        <v>198</v>
      </c>
      <c r="H34" s="4" t="s">
        <v>199</v>
      </c>
    </row>
    <row r="35" spans="1:8" x14ac:dyDescent="0.3">
      <c r="A35" s="3" t="s">
        <v>113</v>
      </c>
      <c r="B35" s="3">
        <v>2</v>
      </c>
      <c r="C35" s="4" t="s">
        <v>200</v>
      </c>
      <c r="D35" s="4" t="s">
        <v>201</v>
      </c>
      <c r="E35" s="4">
        <v>12</v>
      </c>
      <c r="F35" s="4" t="s">
        <v>197</v>
      </c>
      <c r="G35" s="4" t="s">
        <v>202</v>
      </c>
      <c r="H35" s="4" t="s">
        <v>203</v>
      </c>
    </row>
    <row r="36" spans="1:8" x14ac:dyDescent="0.3">
      <c r="A36" s="3" t="s">
        <v>113</v>
      </c>
      <c r="B36" s="3">
        <v>3</v>
      </c>
      <c r="C36" s="4" t="s">
        <v>204</v>
      </c>
      <c r="D36" s="4" t="s">
        <v>205</v>
      </c>
      <c r="E36" s="4">
        <v>40</v>
      </c>
      <c r="F36" s="4" t="s">
        <v>206</v>
      </c>
      <c r="G36" s="4" t="s">
        <v>207</v>
      </c>
      <c r="H36" s="4" t="s">
        <v>208</v>
      </c>
    </row>
    <row r="37" spans="1:8" x14ac:dyDescent="0.3">
      <c r="A37" s="3" t="s">
        <v>113</v>
      </c>
      <c r="B37" s="3">
        <v>4</v>
      </c>
      <c r="C37" s="4" t="s">
        <v>209</v>
      </c>
      <c r="D37" s="4" t="s">
        <v>196</v>
      </c>
      <c r="E37" s="4"/>
      <c r="F37" s="4" t="s">
        <v>206</v>
      </c>
      <c r="G37" s="4" t="s">
        <v>207</v>
      </c>
      <c r="H37" s="4" t="s">
        <v>210</v>
      </c>
    </row>
    <row r="38" spans="1:8" x14ac:dyDescent="0.3">
      <c r="A38" s="3" t="s">
        <v>113</v>
      </c>
      <c r="B38" s="3">
        <v>5</v>
      </c>
      <c r="C38" s="4" t="s">
        <v>211</v>
      </c>
      <c r="D38" s="4" t="s">
        <v>212</v>
      </c>
      <c r="E38" s="4"/>
      <c r="F38" s="4" t="s">
        <v>206</v>
      </c>
      <c r="G38" s="4" t="s">
        <v>207</v>
      </c>
      <c r="H38" s="4" t="s">
        <v>213</v>
      </c>
    </row>
    <row r="39" spans="1:8" x14ac:dyDescent="0.3">
      <c r="A39" s="3" t="s">
        <v>113</v>
      </c>
      <c r="B39" s="3">
        <v>6</v>
      </c>
      <c r="C39" s="4" t="s">
        <v>214</v>
      </c>
      <c r="D39" s="4" t="s">
        <v>215</v>
      </c>
      <c r="E39" s="4">
        <v>1</v>
      </c>
      <c r="F39" s="4" t="s">
        <v>197</v>
      </c>
      <c r="G39" s="4" t="s">
        <v>216</v>
      </c>
      <c r="H39" s="4" t="s">
        <v>217</v>
      </c>
    </row>
    <row r="40" spans="1:8" x14ac:dyDescent="0.3">
      <c r="A40" s="3" t="s">
        <v>113</v>
      </c>
      <c r="B40" s="3">
        <v>7</v>
      </c>
      <c r="C40" s="4" t="s">
        <v>218</v>
      </c>
      <c r="D40" s="4" t="s">
        <v>219</v>
      </c>
      <c r="E40" s="4">
        <v>0</v>
      </c>
      <c r="F40" s="4" t="s">
        <v>206</v>
      </c>
      <c r="G40" s="4" t="s">
        <v>220</v>
      </c>
      <c r="H40" s="4" t="s">
        <v>221</v>
      </c>
    </row>
    <row r="41" spans="1:8" x14ac:dyDescent="0.3">
      <c r="A41" s="3" t="s">
        <v>113</v>
      </c>
      <c r="B41" s="3">
        <v>8</v>
      </c>
      <c r="C41" s="4" t="s">
        <v>222</v>
      </c>
      <c r="D41" s="4" t="s">
        <v>219</v>
      </c>
      <c r="E41" s="4">
        <v>0</v>
      </c>
      <c r="F41" s="4" t="s">
        <v>206</v>
      </c>
      <c r="G41" s="4" t="s">
        <v>223</v>
      </c>
      <c r="H41" s="4" t="s">
        <v>224</v>
      </c>
    </row>
    <row r="42" spans="1:8" x14ac:dyDescent="0.3">
      <c r="A42" s="3" t="s">
        <v>116</v>
      </c>
      <c r="B42" s="3">
        <v>1</v>
      </c>
      <c r="C42" s="4" t="s">
        <v>229</v>
      </c>
      <c r="D42" s="4" t="s">
        <v>230</v>
      </c>
      <c r="E42" s="4">
        <v>1</v>
      </c>
      <c r="F42" s="4" t="s">
        <v>197</v>
      </c>
      <c r="G42" s="4" t="s">
        <v>198</v>
      </c>
      <c r="H42" s="4" t="s">
        <v>199</v>
      </c>
    </row>
    <row r="43" spans="1:8" x14ac:dyDescent="0.3">
      <c r="A43" s="3" t="s">
        <v>116</v>
      </c>
      <c r="B43" s="3">
        <v>2</v>
      </c>
      <c r="C43" s="4" t="s">
        <v>231</v>
      </c>
      <c r="D43" s="4" t="s">
        <v>201</v>
      </c>
      <c r="E43" s="4">
        <v>12</v>
      </c>
      <c r="F43" s="4" t="s">
        <v>197</v>
      </c>
      <c r="G43" s="4" t="s">
        <v>202</v>
      </c>
      <c r="H43" s="4" t="s">
        <v>232</v>
      </c>
    </row>
    <row r="44" spans="1:8" x14ac:dyDescent="0.3">
      <c r="A44" s="3" t="s">
        <v>116</v>
      </c>
      <c r="B44" s="3">
        <v>3</v>
      </c>
      <c r="C44" s="4" t="s">
        <v>233</v>
      </c>
      <c r="D44" s="4" t="s">
        <v>219</v>
      </c>
      <c r="E44" s="4"/>
      <c r="F44" s="4" t="s">
        <v>197</v>
      </c>
      <c r="G44" s="4" t="s">
        <v>234</v>
      </c>
      <c r="H44" s="4" t="s">
        <v>235</v>
      </c>
    </row>
    <row r="45" spans="1:8" x14ac:dyDescent="0.3">
      <c r="A45" s="3" t="s">
        <v>116</v>
      </c>
      <c r="B45" s="3">
        <v>4</v>
      </c>
      <c r="C45" s="4" t="s">
        <v>236</v>
      </c>
      <c r="D45" s="4" t="s">
        <v>237</v>
      </c>
      <c r="E45" s="4">
        <v>0</v>
      </c>
      <c r="F45" s="4" t="s">
        <v>206</v>
      </c>
      <c r="G45" s="4" t="s">
        <v>238</v>
      </c>
      <c r="H45" s="4" t="s">
        <v>239</v>
      </c>
    </row>
    <row r="46" spans="1:8" x14ac:dyDescent="0.3">
      <c r="A46" s="3" t="s">
        <v>116</v>
      </c>
      <c r="B46" s="3">
        <v>5</v>
      </c>
      <c r="C46" s="4" t="s">
        <v>240</v>
      </c>
      <c r="D46" s="4" t="s">
        <v>241</v>
      </c>
      <c r="E46" s="4">
        <v>1</v>
      </c>
      <c r="F46" s="4" t="s">
        <v>197</v>
      </c>
      <c r="G46" s="4" t="s">
        <v>242</v>
      </c>
      <c r="H46" s="4" t="s">
        <v>243</v>
      </c>
    </row>
    <row r="47" spans="1:8" x14ac:dyDescent="0.3">
      <c r="A47" s="3" t="s">
        <v>116</v>
      </c>
      <c r="B47" s="3">
        <v>6</v>
      </c>
      <c r="C47" s="4" t="s">
        <v>214</v>
      </c>
      <c r="D47" s="4" t="s">
        <v>215</v>
      </c>
      <c r="E47" s="4">
        <v>1</v>
      </c>
      <c r="F47" s="4" t="s">
        <v>197</v>
      </c>
      <c r="G47" s="4" t="s">
        <v>216</v>
      </c>
      <c r="H47" s="4" t="s">
        <v>244</v>
      </c>
    </row>
    <row r="48" spans="1:8" x14ac:dyDescent="0.3">
      <c r="A48" s="3" t="s">
        <v>116</v>
      </c>
      <c r="B48" s="3">
        <v>7</v>
      </c>
      <c r="C48" s="4" t="s">
        <v>218</v>
      </c>
      <c r="D48" s="4" t="s">
        <v>219</v>
      </c>
      <c r="E48" s="4">
        <v>0</v>
      </c>
      <c r="F48" s="4" t="s">
        <v>206</v>
      </c>
      <c r="G48" s="4" t="s">
        <v>220</v>
      </c>
      <c r="H48" s="4" t="s">
        <v>245</v>
      </c>
    </row>
    <row r="49" spans="1:8" x14ac:dyDescent="0.3">
      <c r="A49" s="3" t="s">
        <v>116</v>
      </c>
      <c r="B49" s="3">
        <v>8</v>
      </c>
      <c r="C49" s="4" t="s">
        <v>246</v>
      </c>
      <c r="D49" s="4" t="s">
        <v>247</v>
      </c>
      <c r="E49" s="4"/>
      <c r="F49" s="4" t="s">
        <v>206</v>
      </c>
      <c r="G49" s="4" t="s">
        <v>207</v>
      </c>
      <c r="H49" s="4" t="s">
        <v>248</v>
      </c>
    </row>
    <row r="50" spans="1:8" ht="25.2" x14ac:dyDescent="0.3">
      <c r="A50" s="3" t="s">
        <v>121</v>
      </c>
      <c r="B50" s="3">
        <v>1</v>
      </c>
      <c r="C50" s="4" t="s">
        <v>249</v>
      </c>
      <c r="D50" s="4" t="s">
        <v>196</v>
      </c>
      <c r="E50" s="4">
        <v>1</v>
      </c>
      <c r="F50" s="4" t="s">
        <v>197</v>
      </c>
      <c r="G50" s="4" t="s">
        <v>198</v>
      </c>
      <c r="H50" s="4" t="s">
        <v>250</v>
      </c>
    </row>
    <row r="51" spans="1:8" x14ac:dyDescent="0.3">
      <c r="A51" s="3" t="s">
        <v>121</v>
      </c>
      <c r="B51" s="3">
        <v>2</v>
      </c>
      <c r="C51" s="4" t="s">
        <v>251</v>
      </c>
      <c r="D51" s="4" t="s">
        <v>196</v>
      </c>
      <c r="E51" s="4">
        <v>1</v>
      </c>
      <c r="F51" s="4" t="s">
        <v>206</v>
      </c>
      <c r="G51" s="4" t="s">
        <v>207</v>
      </c>
      <c r="H51" s="4" t="s">
        <v>252</v>
      </c>
    </row>
    <row r="52" spans="1:8" x14ac:dyDescent="0.3">
      <c r="A52" s="3" t="s">
        <v>121</v>
      </c>
      <c r="B52" s="3">
        <v>3</v>
      </c>
      <c r="C52" s="4" t="s">
        <v>253</v>
      </c>
      <c r="D52" s="4" t="s">
        <v>241</v>
      </c>
      <c r="E52" s="4">
        <v>1</v>
      </c>
      <c r="F52" s="4" t="s">
        <v>197</v>
      </c>
      <c r="G52" s="4" t="s">
        <v>242</v>
      </c>
      <c r="H52" s="4" t="s">
        <v>254</v>
      </c>
    </row>
    <row r="53" spans="1:8" x14ac:dyDescent="0.3">
      <c r="A53" s="3" t="s">
        <v>121</v>
      </c>
      <c r="B53" s="3">
        <v>4</v>
      </c>
      <c r="C53" s="4" t="s">
        <v>255</v>
      </c>
      <c r="D53" s="4" t="s">
        <v>215</v>
      </c>
      <c r="E53" s="4">
        <v>1</v>
      </c>
      <c r="F53" s="4" t="s">
        <v>197</v>
      </c>
      <c r="G53" s="4" t="s">
        <v>216</v>
      </c>
      <c r="H53" s="4" t="s">
        <v>256</v>
      </c>
    </row>
    <row r="54" spans="1:8" x14ac:dyDescent="0.3">
      <c r="A54" s="3" t="s">
        <v>121</v>
      </c>
      <c r="B54" s="3">
        <v>5</v>
      </c>
      <c r="C54" s="4" t="s">
        <v>218</v>
      </c>
      <c r="D54" s="4" t="s">
        <v>219</v>
      </c>
      <c r="E54" s="4">
        <v>0</v>
      </c>
      <c r="F54" s="4" t="s">
        <v>206</v>
      </c>
      <c r="G54" s="4" t="s">
        <v>220</v>
      </c>
      <c r="H54" s="4" t="s">
        <v>221</v>
      </c>
    </row>
    <row r="55" spans="1:8" x14ac:dyDescent="0.3">
      <c r="A55" s="3" t="s">
        <v>121</v>
      </c>
      <c r="B55" s="3">
        <v>6</v>
      </c>
      <c r="C55" s="4" t="s">
        <v>257</v>
      </c>
      <c r="D55" s="4" t="s">
        <v>237</v>
      </c>
      <c r="E55" s="4">
        <v>0</v>
      </c>
      <c r="F55" s="4" t="s">
        <v>206</v>
      </c>
      <c r="G55" s="4" t="s">
        <v>238</v>
      </c>
      <c r="H55" s="4" t="s">
        <v>258</v>
      </c>
    </row>
    <row r="56" spans="1:8" x14ac:dyDescent="0.3">
      <c r="A56" s="3" t="s">
        <v>121</v>
      </c>
      <c r="B56" s="3">
        <v>7</v>
      </c>
      <c r="C56" s="4" t="s">
        <v>259</v>
      </c>
      <c r="D56" s="4" t="s">
        <v>260</v>
      </c>
      <c r="E56" s="4"/>
      <c r="F56" s="4" t="s">
        <v>206</v>
      </c>
      <c r="G56" s="4" t="s">
        <v>207</v>
      </c>
      <c r="H56" s="4" t="s">
        <v>261</v>
      </c>
    </row>
    <row r="57" spans="1:8" x14ac:dyDescent="0.3">
      <c r="A57" s="3" t="s">
        <v>121</v>
      </c>
      <c r="B57" s="3">
        <v>8</v>
      </c>
      <c r="C57" s="4" t="s">
        <v>262</v>
      </c>
      <c r="D57" s="4" t="s">
        <v>263</v>
      </c>
      <c r="E57" s="4"/>
      <c r="F57" s="4" t="s">
        <v>206</v>
      </c>
      <c r="G57" s="4" t="s">
        <v>207</v>
      </c>
      <c r="H57" s="4" t="s">
        <v>261</v>
      </c>
    </row>
    <row r="58" spans="1:8" x14ac:dyDescent="0.3">
      <c r="A58" s="3" t="s">
        <v>125</v>
      </c>
      <c r="B58" s="3">
        <v>1</v>
      </c>
      <c r="C58" s="4" t="s">
        <v>264</v>
      </c>
      <c r="D58" s="4" t="s">
        <v>196</v>
      </c>
      <c r="E58" s="4">
        <v>1</v>
      </c>
      <c r="F58" s="4" t="s">
        <v>197</v>
      </c>
      <c r="G58" s="4" t="s">
        <v>198</v>
      </c>
      <c r="H58" s="4" t="s">
        <v>199</v>
      </c>
    </row>
    <row r="59" spans="1:8" x14ac:dyDescent="0.3">
      <c r="A59" s="3" t="s">
        <v>125</v>
      </c>
      <c r="B59" s="3">
        <v>2</v>
      </c>
      <c r="C59" s="4" t="s">
        <v>265</v>
      </c>
      <c r="D59" s="4" t="s">
        <v>196</v>
      </c>
      <c r="E59" s="4">
        <v>1</v>
      </c>
      <c r="F59" s="4" t="s">
        <v>206</v>
      </c>
      <c r="G59" s="4" t="s">
        <v>207</v>
      </c>
      <c r="H59" s="4" t="s">
        <v>266</v>
      </c>
    </row>
    <row r="60" spans="1:8" x14ac:dyDescent="0.3">
      <c r="A60" s="3" t="s">
        <v>125</v>
      </c>
      <c r="B60" s="3">
        <v>3</v>
      </c>
      <c r="C60" s="4" t="s">
        <v>267</v>
      </c>
      <c r="D60" s="4" t="s">
        <v>196</v>
      </c>
      <c r="E60" s="4"/>
      <c r="F60" s="4" t="s">
        <v>206</v>
      </c>
      <c r="G60" s="4" t="s">
        <v>207</v>
      </c>
      <c r="H60" s="4" t="s">
        <v>266</v>
      </c>
    </row>
    <row r="61" spans="1:8" x14ac:dyDescent="0.3">
      <c r="A61" s="3" t="s">
        <v>125</v>
      </c>
      <c r="B61" s="3">
        <v>4</v>
      </c>
      <c r="C61" s="4" t="s">
        <v>268</v>
      </c>
      <c r="D61" s="4" t="s">
        <v>241</v>
      </c>
      <c r="E61" s="4">
        <v>1</v>
      </c>
      <c r="F61" s="4" t="s">
        <v>197</v>
      </c>
      <c r="G61" s="4" t="s">
        <v>242</v>
      </c>
      <c r="H61" s="4" t="s">
        <v>254</v>
      </c>
    </row>
    <row r="62" spans="1:8" x14ac:dyDescent="0.3">
      <c r="A62" s="3" t="s">
        <v>125</v>
      </c>
      <c r="B62" s="3">
        <v>5</v>
      </c>
      <c r="C62" s="4" t="s">
        <v>255</v>
      </c>
      <c r="D62" s="4" t="s">
        <v>215</v>
      </c>
      <c r="E62" s="4">
        <v>1</v>
      </c>
      <c r="F62" s="4" t="s">
        <v>197</v>
      </c>
      <c r="G62" s="4" t="s">
        <v>216</v>
      </c>
      <c r="H62" s="4" t="s">
        <v>244</v>
      </c>
    </row>
    <row r="63" spans="1:8" x14ac:dyDescent="0.3">
      <c r="A63" s="3" t="s">
        <v>125</v>
      </c>
      <c r="B63" s="3">
        <v>6</v>
      </c>
      <c r="C63" s="4" t="s">
        <v>218</v>
      </c>
      <c r="D63" s="4" t="s">
        <v>219</v>
      </c>
      <c r="E63" s="4">
        <v>0</v>
      </c>
      <c r="F63" s="4" t="s">
        <v>206</v>
      </c>
      <c r="G63" s="4" t="s">
        <v>220</v>
      </c>
      <c r="H63" s="4" t="s">
        <v>221</v>
      </c>
    </row>
    <row r="64" spans="1:8" x14ac:dyDescent="0.3">
      <c r="A64" s="3" t="s">
        <v>125</v>
      </c>
      <c r="B64" s="3">
        <v>7</v>
      </c>
      <c r="C64" s="4" t="s">
        <v>257</v>
      </c>
      <c r="D64" s="4" t="s">
        <v>237</v>
      </c>
      <c r="E64" s="4">
        <v>0</v>
      </c>
      <c r="F64" s="4" t="s">
        <v>206</v>
      </c>
      <c r="G64" s="4" t="s">
        <v>238</v>
      </c>
      <c r="H64" s="4" t="s">
        <v>239</v>
      </c>
    </row>
    <row r="65" spans="1:8" x14ac:dyDescent="0.3">
      <c r="A65" s="3" t="s">
        <v>125</v>
      </c>
      <c r="B65" s="3">
        <v>8</v>
      </c>
      <c r="C65" s="4" t="s">
        <v>222</v>
      </c>
      <c r="D65" s="4" t="s">
        <v>219</v>
      </c>
      <c r="E65" s="4">
        <v>0</v>
      </c>
      <c r="F65" s="4" t="s">
        <v>206</v>
      </c>
      <c r="G65" s="4" t="s">
        <v>223</v>
      </c>
      <c r="H65" s="4" t="s">
        <v>224</v>
      </c>
    </row>
    <row r="66" spans="1:8" x14ac:dyDescent="0.3">
      <c r="A66" s="3" t="s">
        <v>129</v>
      </c>
      <c r="B66" s="3">
        <v>1</v>
      </c>
      <c r="C66" s="4" t="s">
        <v>269</v>
      </c>
      <c r="D66" s="4" t="s">
        <v>196</v>
      </c>
      <c r="E66" s="4">
        <v>1</v>
      </c>
      <c r="F66" s="4" t="s">
        <v>197</v>
      </c>
      <c r="G66" s="4" t="s">
        <v>198</v>
      </c>
      <c r="H66" s="4" t="s">
        <v>199</v>
      </c>
    </row>
    <row r="67" spans="1:8" x14ac:dyDescent="0.3">
      <c r="A67" s="3" t="s">
        <v>129</v>
      </c>
      <c r="B67" s="3">
        <v>2</v>
      </c>
      <c r="C67" s="4" t="s">
        <v>251</v>
      </c>
      <c r="D67" s="4" t="s">
        <v>196</v>
      </c>
      <c r="E67" s="4">
        <v>1</v>
      </c>
      <c r="F67" s="4" t="s">
        <v>206</v>
      </c>
      <c r="G67" s="4" t="s">
        <v>207</v>
      </c>
      <c r="H67" s="4" t="s">
        <v>266</v>
      </c>
    </row>
    <row r="68" spans="1:8" ht="25.2" x14ac:dyDescent="0.3">
      <c r="A68" s="3" t="s">
        <v>129</v>
      </c>
      <c r="B68" s="3">
        <v>3</v>
      </c>
      <c r="C68" s="4" t="s">
        <v>270</v>
      </c>
      <c r="D68" s="4" t="s">
        <v>196</v>
      </c>
      <c r="E68" s="4"/>
      <c r="F68" s="4" t="s">
        <v>206</v>
      </c>
      <c r="G68" s="4" t="s">
        <v>207</v>
      </c>
      <c r="H68" s="4" t="s">
        <v>266</v>
      </c>
    </row>
    <row r="69" spans="1:8" x14ac:dyDescent="0.3">
      <c r="A69" s="3" t="s">
        <v>129</v>
      </c>
      <c r="B69" s="3">
        <v>4</v>
      </c>
      <c r="C69" s="4" t="s">
        <v>268</v>
      </c>
      <c r="D69" s="4" t="s">
        <v>241</v>
      </c>
      <c r="E69" s="4">
        <v>1</v>
      </c>
      <c r="F69" s="4" t="s">
        <v>197</v>
      </c>
      <c r="G69" s="4" t="s">
        <v>242</v>
      </c>
      <c r="H69" s="4" t="s">
        <v>254</v>
      </c>
    </row>
    <row r="70" spans="1:8" x14ac:dyDescent="0.3">
      <c r="A70" s="3" t="s">
        <v>129</v>
      </c>
      <c r="B70" s="3">
        <v>5</v>
      </c>
      <c r="C70" s="4" t="s">
        <v>255</v>
      </c>
      <c r="D70" s="4" t="s">
        <v>215</v>
      </c>
      <c r="E70" s="4">
        <v>1</v>
      </c>
      <c r="F70" s="4" t="s">
        <v>197</v>
      </c>
      <c r="G70" s="4" t="s">
        <v>216</v>
      </c>
      <c r="H70" s="4" t="s">
        <v>244</v>
      </c>
    </row>
    <row r="71" spans="1:8" x14ac:dyDescent="0.3">
      <c r="A71" s="3" t="s">
        <v>129</v>
      </c>
      <c r="B71" s="3">
        <v>6</v>
      </c>
      <c r="C71" s="4" t="s">
        <v>218</v>
      </c>
      <c r="D71" s="4" t="s">
        <v>219</v>
      </c>
      <c r="E71" s="4">
        <v>0</v>
      </c>
      <c r="F71" s="4" t="s">
        <v>206</v>
      </c>
      <c r="G71" s="4" t="s">
        <v>220</v>
      </c>
      <c r="H71" s="4" t="s">
        <v>221</v>
      </c>
    </row>
    <row r="72" spans="1:8" x14ac:dyDescent="0.3">
      <c r="A72" s="3" t="s">
        <v>129</v>
      </c>
      <c r="B72" s="3">
        <v>7</v>
      </c>
      <c r="C72" s="4" t="s">
        <v>271</v>
      </c>
      <c r="D72" s="4" t="s">
        <v>237</v>
      </c>
      <c r="E72" s="4">
        <v>0</v>
      </c>
      <c r="F72" s="4" t="s">
        <v>206</v>
      </c>
      <c r="G72" s="4" t="s">
        <v>238</v>
      </c>
      <c r="H72" s="4" t="s">
        <v>239</v>
      </c>
    </row>
    <row r="73" spans="1:8" x14ac:dyDescent="0.3">
      <c r="A73" s="3" t="s">
        <v>129</v>
      </c>
      <c r="B73" s="3">
        <v>8</v>
      </c>
      <c r="C73" s="4" t="s">
        <v>222</v>
      </c>
      <c r="D73" s="4" t="s">
        <v>219</v>
      </c>
      <c r="E73" s="4">
        <v>0</v>
      </c>
      <c r="F73" s="4" t="s">
        <v>206</v>
      </c>
      <c r="G73" s="4" t="s">
        <v>223</v>
      </c>
      <c r="H73" s="4" t="s">
        <v>224</v>
      </c>
    </row>
    <row r="74" spans="1:8" x14ac:dyDescent="0.3">
      <c r="A74" s="3" t="s">
        <v>133</v>
      </c>
      <c r="B74" s="3">
        <v>1</v>
      </c>
      <c r="C74" s="4" t="s">
        <v>272</v>
      </c>
      <c r="D74" s="4" t="s">
        <v>196</v>
      </c>
      <c r="E74" s="4">
        <v>1</v>
      </c>
      <c r="F74" s="4" t="s">
        <v>197</v>
      </c>
      <c r="G74" s="4" t="s">
        <v>198</v>
      </c>
      <c r="H74" s="4" t="s">
        <v>199</v>
      </c>
    </row>
    <row r="75" spans="1:8" x14ac:dyDescent="0.3">
      <c r="A75" s="3" t="s">
        <v>133</v>
      </c>
      <c r="B75" s="3">
        <v>2</v>
      </c>
      <c r="C75" s="4" t="s">
        <v>265</v>
      </c>
      <c r="D75" s="4" t="s">
        <v>196</v>
      </c>
      <c r="E75" s="4">
        <v>1</v>
      </c>
      <c r="F75" s="4" t="s">
        <v>206</v>
      </c>
      <c r="G75" s="4" t="s">
        <v>207</v>
      </c>
      <c r="H75" s="4" t="s">
        <v>266</v>
      </c>
    </row>
    <row r="76" spans="1:8" x14ac:dyDescent="0.3">
      <c r="A76" s="3" t="s">
        <v>133</v>
      </c>
      <c r="B76" s="3">
        <v>3</v>
      </c>
      <c r="C76" s="4" t="s">
        <v>267</v>
      </c>
      <c r="D76" s="4" t="s">
        <v>196</v>
      </c>
      <c r="E76" s="4"/>
      <c r="F76" s="4" t="s">
        <v>206</v>
      </c>
      <c r="G76" s="4" t="s">
        <v>207</v>
      </c>
      <c r="H76" s="4" t="s">
        <v>266</v>
      </c>
    </row>
    <row r="77" spans="1:8" x14ac:dyDescent="0.3">
      <c r="A77" s="3" t="s">
        <v>133</v>
      </c>
      <c r="B77" s="3">
        <v>4</v>
      </c>
      <c r="C77" s="4" t="s">
        <v>268</v>
      </c>
      <c r="D77" s="4" t="s">
        <v>241</v>
      </c>
      <c r="E77" s="4">
        <v>1</v>
      </c>
      <c r="F77" s="4" t="s">
        <v>197</v>
      </c>
      <c r="G77" s="4" t="s">
        <v>242</v>
      </c>
      <c r="H77" s="4" t="s">
        <v>254</v>
      </c>
    </row>
    <row r="78" spans="1:8" x14ac:dyDescent="0.3">
      <c r="A78" s="3" t="s">
        <v>133</v>
      </c>
      <c r="B78" s="3">
        <v>5</v>
      </c>
      <c r="C78" s="4" t="s">
        <v>255</v>
      </c>
      <c r="D78" s="4" t="s">
        <v>215</v>
      </c>
      <c r="E78" s="4">
        <v>1</v>
      </c>
      <c r="F78" s="4" t="s">
        <v>197</v>
      </c>
      <c r="G78" s="4" t="s">
        <v>216</v>
      </c>
      <c r="H78" s="4" t="s">
        <v>244</v>
      </c>
    </row>
    <row r="79" spans="1:8" x14ac:dyDescent="0.3">
      <c r="A79" s="3" t="s">
        <v>133</v>
      </c>
      <c r="B79" s="3">
        <v>6</v>
      </c>
      <c r="C79" s="4" t="s">
        <v>218</v>
      </c>
      <c r="D79" s="4" t="s">
        <v>219</v>
      </c>
      <c r="E79" s="4">
        <v>0</v>
      </c>
      <c r="F79" s="4" t="s">
        <v>206</v>
      </c>
      <c r="G79" s="4" t="s">
        <v>220</v>
      </c>
      <c r="H79" s="4" t="s">
        <v>221</v>
      </c>
    </row>
    <row r="80" spans="1:8" x14ac:dyDescent="0.3">
      <c r="A80" s="3" t="s">
        <v>133</v>
      </c>
      <c r="B80" s="3">
        <v>7</v>
      </c>
      <c r="C80" s="4" t="s">
        <v>257</v>
      </c>
      <c r="D80" s="4" t="s">
        <v>237</v>
      </c>
      <c r="E80" s="4">
        <v>0</v>
      </c>
      <c r="F80" s="4" t="s">
        <v>206</v>
      </c>
      <c r="G80" s="4" t="s">
        <v>238</v>
      </c>
      <c r="H80" s="4" t="s">
        <v>239</v>
      </c>
    </row>
    <row r="81" spans="1:8" x14ac:dyDescent="0.3">
      <c r="A81" s="3" t="s">
        <v>133</v>
      </c>
      <c r="B81" s="3">
        <v>8</v>
      </c>
      <c r="C81" s="4" t="s">
        <v>222</v>
      </c>
      <c r="D81" s="4" t="s">
        <v>219</v>
      </c>
      <c r="E81" s="4">
        <v>0</v>
      </c>
      <c r="F81" s="4" t="s">
        <v>206</v>
      </c>
      <c r="G81" s="4" t="s">
        <v>223</v>
      </c>
      <c r="H81" s="4" t="s">
        <v>224</v>
      </c>
    </row>
    <row r="82" spans="1:8" x14ac:dyDescent="0.3">
      <c r="A82" s="3" t="s">
        <v>136</v>
      </c>
      <c r="B82" s="3">
        <v>1</v>
      </c>
      <c r="C82" s="4" t="s">
        <v>273</v>
      </c>
      <c r="D82" s="4" t="s">
        <v>230</v>
      </c>
      <c r="E82" s="4">
        <v>1</v>
      </c>
      <c r="F82" s="4" t="s">
        <v>197</v>
      </c>
      <c r="G82" s="4" t="s">
        <v>198</v>
      </c>
      <c r="H82" s="4" t="s">
        <v>199</v>
      </c>
    </row>
    <row r="83" spans="1:8" x14ac:dyDescent="0.3">
      <c r="A83" s="3" t="s">
        <v>136</v>
      </c>
      <c r="B83" s="3">
        <v>2</v>
      </c>
      <c r="C83" s="4" t="s">
        <v>274</v>
      </c>
      <c r="D83" s="4" t="s">
        <v>201</v>
      </c>
      <c r="E83" s="4">
        <v>12</v>
      </c>
      <c r="F83" s="4" t="s">
        <v>197</v>
      </c>
      <c r="G83" s="4" t="s">
        <v>202</v>
      </c>
      <c r="H83" s="4" t="s">
        <v>275</v>
      </c>
    </row>
    <row r="84" spans="1:8" x14ac:dyDescent="0.3">
      <c r="A84" s="3" t="s">
        <v>136</v>
      </c>
      <c r="B84" s="3">
        <v>3</v>
      </c>
      <c r="C84" s="4" t="s">
        <v>233</v>
      </c>
      <c r="D84" s="4" t="s">
        <v>219</v>
      </c>
      <c r="E84" s="4"/>
      <c r="F84" s="4" t="s">
        <v>197</v>
      </c>
      <c r="G84" s="4" t="s">
        <v>234</v>
      </c>
      <c r="H84" s="4" t="s">
        <v>235</v>
      </c>
    </row>
    <row r="85" spans="1:8" x14ac:dyDescent="0.3">
      <c r="A85" s="3" t="s">
        <v>136</v>
      </c>
      <c r="B85" s="3">
        <v>4</v>
      </c>
      <c r="C85" s="4" t="s">
        <v>276</v>
      </c>
      <c r="D85" s="4" t="s">
        <v>219</v>
      </c>
      <c r="E85" s="4"/>
      <c r="F85" s="4" t="s">
        <v>206</v>
      </c>
      <c r="G85" s="4" t="s">
        <v>207</v>
      </c>
      <c r="H85" s="4" t="s">
        <v>277</v>
      </c>
    </row>
    <row r="86" spans="1:8" x14ac:dyDescent="0.3">
      <c r="A86" s="3" t="s">
        <v>136</v>
      </c>
      <c r="B86" s="3">
        <v>5</v>
      </c>
      <c r="C86" s="4" t="s">
        <v>278</v>
      </c>
      <c r="D86" s="4" t="s">
        <v>279</v>
      </c>
      <c r="E86" s="4"/>
      <c r="F86" s="4" t="s">
        <v>206</v>
      </c>
      <c r="G86" s="4" t="s">
        <v>207</v>
      </c>
      <c r="H86" s="4" t="s">
        <v>280</v>
      </c>
    </row>
    <row r="87" spans="1:8" x14ac:dyDescent="0.3">
      <c r="A87" s="3" t="s">
        <v>136</v>
      </c>
      <c r="B87" s="3">
        <v>6</v>
      </c>
      <c r="C87" s="4" t="s">
        <v>281</v>
      </c>
      <c r="D87" s="4" t="s">
        <v>237</v>
      </c>
      <c r="E87" s="4">
        <v>0</v>
      </c>
      <c r="F87" s="4" t="s">
        <v>206</v>
      </c>
      <c r="G87" s="4" t="s">
        <v>238</v>
      </c>
      <c r="H87" s="4" t="s">
        <v>282</v>
      </c>
    </row>
    <row r="88" spans="1:8" x14ac:dyDescent="0.3">
      <c r="A88" s="3" t="s">
        <v>136</v>
      </c>
      <c r="B88" s="3">
        <v>7</v>
      </c>
      <c r="C88" s="4" t="s">
        <v>214</v>
      </c>
      <c r="D88" s="4" t="s">
        <v>215</v>
      </c>
      <c r="E88" s="4">
        <v>1</v>
      </c>
      <c r="F88" s="4" t="s">
        <v>197</v>
      </c>
      <c r="G88" s="4" t="s">
        <v>216</v>
      </c>
      <c r="H88" s="4" t="s">
        <v>283</v>
      </c>
    </row>
    <row r="89" spans="1:8" x14ac:dyDescent="0.3">
      <c r="A89" s="3" t="s">
        <v>136</v>
      </c>
      <c r="B89" s="3">
        <v>8</v>
      </c>
      <c r="C89" s="4" t="s">
        <v>218</v>
      </c>
      <c r="D89" s="4" t="s">
        <v>219</v>
      </c>
      <c r="E89" s="4">
        <v>0</v>
      </c>
      <c r="F89" s="4" t="s">
        <v>206</v>
      </c>
      <c r="G89" s="4" t="s">
        <v>220</v>
      </c>
      <c r="H89" s="4" t="s">
        <v>221</v>
      </c>
    </row>
    <row r="90" spans="1:8" x14ac:dyDescent="0.3">
      <c r="A90" s="3" t="s">
        <v>141</v>
      </c>
      <c r="B90" s="3">
        <v>1</v>
      </c>
      <c r="C90" s="4" t="s">
        <v>284</v>
      </c>
      <c r="D90" s="4" t="s">
        <v>230</v>
      </c>
      <c r="E90" s="4">
        <v>1</v>
      </c>
      <c r="F90" s="4" t="s">
        <v>197</v>
      </c>
      <c r="G90" s="4" t="s">
        <v>198</v>
      </c>
      <c r="H90" s="4" t="s">
        <v>199</v>
      </c>
    </row>
    <row r="91" spans="1:8" x14ac:dyDescent="0.3">
      <c r="A91" s="3" t="s">
        <v>141</v>
      </c>
      <c r="B91" s="3">
        <v>2</v>
      </c>
      <c r="C91" s="4" t="s">
        <v>274</v>
      </c>
      <c r="D91" s="4" t="s">
        <v>201</v>
      </c>
      <c r="E91" s="4">
        <v>12</v>
      </c>
      <c r="F91" s="4" t="s">
        <v>197</v>
      </c>
      <c r="G91" s="4" t="s">
        <v>202</v>
      </c>
      <c r="H91" s="4" t="s">
        <v>275</v>
      </c>
    </row>
    <row r="92" spans="1:8" x14ac:dyDescent="0.3">
      <c r="A92" s="3" t="s">
        <v>141</v>
      </c>
      <c r="B92" s="3">
        <v>3</v>
      </c>
      <c r="C92" s="4" t="s">
        <v>233</v>
      </c>
      <c r="D92" s="4" t="s">
        <v>219</v>
      </c>
      <c r="E92" s="4"/>
      <c r="F92" s="4" t="s">
        <v>197</v>
      </c>
      <c r="G92" s="4" t="s">
        <v>234</v>
      </c>
      <c r="H92" s="4" t="s">
        <v>235</v>
      </c>
    </row>
    <row r="93" spans="1:8" x14ac:dyDescent="0.3">
      <c r="A93" s="3" t="s">
        <v>141</v>
      </c>
      <c r="B93" s="3">
        <v>4</v>
      </c>
      <c r="C93" s="4" t="s">
        <v>276</v>
      </c>
      <c r="D93" s="4" t="s">
        <v>219</v>
      </c>
      <c r="E93" s="4"/>
      <c r="F93" s="4" t="s">
        <v>206</v>
      </c>
      <c r="G93" s="4" t="s">
        <v>207</v>
      </c>
      <c r="H93" s="4" t="s">
        <v>277</v>
      </c>
    </row>
    <row r="94" spans="1:8" x14ac:dyDescent="0.3">
      <c r="A94" s="3" t="s">
        <v>141</v>
      </c>
      <c r="B94" s="3">
        <v>5</v>
      </c>
      <c r="C94" s="4" t="s">
        <v>278</v>
      </c>
      <c r="D94" s="4" t="s">
        <v>279</v>
      </c>
      <c r="E94" s="4"/>
      <c r="F94" s="4" t="s">
        <v>206</v>
      </c>
      <c r="G94" s="4" t="s">
        <v>207</v>
      </c>
      <c r="H94" s="4" t="s">
        <v>280</v>
      </c>
    </row>
    <row r="95" spans="1:8" x14ac:dyDescent="0.3">
      <c r="A95" s="3" t="s">
        <v>141</v>
      </c>
      <c r="B95" s="3">
        <v>6</v>
      </c>
      <c r="C95" s="4" t="s">
        <v>281</v>
      </c>
      <c r="D95" s="4" t="s">
        <v>237</v>
      </c>
      <c r="E95" s="4">
        <v>0</v>
      </c>
      <c r="F95" s="4" t="s">
        <v>206</v>
      </c>
      <c r="G95" s="4" t="s">
        <v>238</v>
      </c>
      <c r="H95" s="4" t="s">
        <v>282</v>
      </c>
    </row>
    <row r="96" spans="1:8" x14ac:dyDescent="0.3">
      <c r="A96" s="3" t="s">
        <v>141</v>
      </c>
      <c r="B96" s="3">
        <v>7</v>
      </c>
      <c r="C96" s="4" t="s">
        <v>214</v>
      </c>
      <c r="D96" s="4" t="s">
        <v>215</v>
      </c>
      <c r="E96" s="4">
        <v>1</v>
      </c>
      <c r="F96" s="4" t="s">
        <v>197</v>
      </c>
      <c r="G96" s="4" t="s">
        <v>216</v>
      </c>
      <c r="H96" s="4" t="s">
        <v>283</v>
      </c>
    </row>
    <row r="97" spans="1:8" x14ac:dyDescent="0.3">
      <c r="A97" s="3" t="s">
        <v>141</v>
      </c>
      <c r="B97" s="3">
        <v>8</v>
      </c>
      <c r="C97" s="4" t="s">
        <v>218</v>
      </c>
      <c r="D97" s="4" t="s">
        <v>219</v>
      </c>
      <c r="E97" s="4">
        <v>0</v>
      </c>
      <c r="F97" s="4" t="s">
        <v>206</v>
      </c>
      <c r="G97" s="4" t="s">
        <v>220</v>
      </c>
      <c r="H97" s="4" t="s">
        <v>221</v>
      </c>
    </row>
    <row r="98" spans="1:8" x14ac:dyDescent="0.3">
      <c r="A98" s="3" t="s">
        <v>144</v>
      </c>
      <c r="B98" s="3">
        <v>1</v>
      </c>
      <c r="C98" s="4" t="s">
        <v>285</v>
      </c>
      <c r="D98" s="4" t="s">
        <v>230</v>
      </c>
      <c r="E98" s="4">
        <v>1</v>
      </c>
      <c r="F98" s="4" t="s">
        <v>197</v>
      </c>
      <c r="G98" s="4" t="s">
        <v>198</v>
      </c>
      <c r="H98" s="4" t="s">
        <v>199</v>
      </c>
    </row>
    <row r="99" spans="1:8" x14ac:dyDescent="0.3">
      <c r="A99" s="3" t="s">
        <v>144</v>
      </c>
      <c r="B99" s="3">
        <v>2</v>
      </c>
      <c r="C99" s="4" t="s">
        <v>274</v>
      </c>
      <c r="D99" s="4" t="s">
        <v>201</v>
      </c>
      <c r="E99" s="4">
        <v>12</v>
      </c>
      <c r="F99" s="4" t="s">
        <v>197</v>
      </c>
      <c r="G99" s="4" t="s">
        <v>202</v>
      </c>
      <c r="H99" s="4" t="s">
        <v>275</v>
      </c>
    </row>
    <row r="100" spans="1:8" x14ac:dyDescent="0.3">
      <c r="A100" s="3" t="s">
        <v>144</v>
      </c>
      <c r="B100" s="3">
        <v>3</v>
      </c>
      <c r="C100" s="4" t="s">
        <v>233</v>
      </c>
      <c r="D100" s="4" t="s">
        <v>219</v>
      </c>
      <c r="E100" s="4"/>
      <c r="F100" s="4" t="s">
        <v>197</v>
      </c>
      <c r="G100" s="4" t="s">
        <v>234</v>
      </c>
      <c r="H100" s="4" t="s">
        <v>235</v>
      </c>
    </row>
    <row r="101" spans="1:8" x14ac:dyDescent="0.3">
      <c r="A101" s="3" t="s">
        <v>144</v>
      </c>
      <c r="B101" s="3">
        <v>4</v>
      </c>
      <c r="C101" s="4" t="s">
        <v>276</v>
      </c>
      <c r="D101" s="4" t="s">
        <v>219</v>
      </c>
      <c r="E101" s="4"/>
      <c r="F101" s="4" t="s">
        <v>206</v>
      </c>
      <c r="G101" s="4" t="s">
        <v>207</v>
      </c>
      <c r="H101" s="4" t="s">
        <v>277</v>
      </c>
    </row>
    <row r="102" spans="1:8" x14ac:dyDescent="0.3">
      <c r="A102" s="3" t="s">
        <v>144</v>
      </c>
      <c r="B102" s="3">
        <v>5</v>
      </c>
      <c r="C102" s="4" t="s">
        <v>278</v>
      </c>
      <c r="D102" s="4" t="s">
        <v>279</v>
      </c>
      <c r="E102" s="4"/>
      <c r="F102" s="4" t="s">
        <v>206</v>
      </c>
      <c r="G102" s="4" t="s">
        <v>207</v>
      </c>
      <c r="H102" s="4" t="s">
        <v>280</v>
      </c>
    </row>
    <row r="103" spans="1:8" x14ac:dyDescent="0.3">
      <c r="A103" s="3" t="s">
        <v>144</v>
      </c>
      <c r="B103" s="3">
        <v>6</v>
      </c>
      <c r="C103" s="4" t="s">
        <v>281</v>
      </c>
      <c r="D103" s="4" t="s">
        <v>237</v>
      </c>
      <c r="E103" s="4">
        <v>0</v>
      </c>
      <c r="F103" s="4" t="s">
        <v>206</v>
      </c>
      <c r="G103" s="4" t="s">
        <v>238</v>
      </c>
      <c r="H103" s="4" t="s">
        <v>282</v>
      </c>
    </row>
    <row r="104" spans="1:8" x14ac:dyDescent="0.3">
      <c r="A104" s="3" t="s">
        <v>144</v>
      </c>
      <c r="B104" s="3">
        <v>7</v>
      </c>
      <c r="C104" s="4" t="s">
        <v>214</v>
      </c>
      <c r="D104" s="4" t="s">
        <v>215</v>
      </c>
      <c r="E104" s="4">
        <v>1</v>
      </c>
      <c r="F104" s="4" t="s">
        <v>197</v>
      </c>
      <c r="G104" s="4" t="s">
        <v>216</v>
      </c>
      <c r="H104" s="4" t="s">
        <v>283</v>
      </c>
    </row>
    <row r="105" spans="1:8" x14ac:dyDescent="0.3">
      <c r="A105" s="3" t="s">
        <v>144</v>
      </c>
      <c r="B105" s="3">
        <v>8</v>
      </c>
      <c r="C105" s="4" t="s">
        <v>218</v>
      </c>
      <c r="D105" s="4" t="s">
        <v>219</v>
      </c>
      <c r="E105" s="4">
        <v>0</v>
      </c>
      <c r="F105" s="4" t="s">
        <v>206</v>
      </c>
      <c r="G105" s="4" t="s">
        <v>220</v>
      </c>
      <c r="H105" s="4" t="s">
        <v>221</v>
      </c>
    </row>
    <row r="106" spans="1:8" x14ac:dyDescent="0.3">
      <c r="A106" s="3" t="s">
        <v>147</v>
      </c>
      <c r="B106" s="3">
        <v>1</v>
      </c>
      <c r="C106" s="4" t="s">
        <v>286</v>
      </c>
      <c r="D106" s="4" t="s">
        <v>230</v>
      </c>
      <c r="E106" s="4">
        <v>1</v>
      </c>
      <c r="F106" s="4" t="s">
        <v>197</v>
      </c>
      <c r="G106" s="4" t="s">
        <v>198</v>
      </c>
      <c r="H106" s="4" t="s">
        <v>199</v>
      </c>
    </row>
    <row r="107" spans="1:8" x14ac:dyDescent="0.3">
      <c r="A107" s="3" t="s">
        <v>147</v>
      </c>
      <c r="B107" s="3">
        <v>2</v>
      </c>
      <c r="C107" s="4" t="s">
        <v>274</v>
      </c>
      <c r="D107" s="4" t="s">
        <v>201</v>
      </c>
      <c r="E107" s="4">
        <v>12</v>
      </c>
      <c r="F107" s="4" t="s">
        <v>197</v>
      </c>
      <c r="G107" s="4" t="s">
        <v>202</v>
      </c>
      <c r="H107" s="4" t="s">
        <v>275</v>
      </c>
    </row>
    <row r="108" spans="1:8" x14ac:dyDescent="0.3">
      <c r="A108" s="3" t="s">
        <v>147</v>
      </c>
      <c r="B108" s="3">
        <v>3</v>
      </c>
      <c r="C108" s="4" t="s">
        <v>233</v>
      </c>
      <c r="D108" s="4" t="s">
        <v>219</v>
      </c>
      <c r="E108" s="4"/>
      <c r="F108" s="4" t="s">
        <v>197</v>
      </c>
      <c r="G108" s="4" t="s">
        <v>234</v>
      </c>
      <c r="H108" s="4" t="s">
        <v>235</v>
      </c>
    </row>
    <row r="109" spans="1:8" x14ac:dyDescent="0.3">
      <c r="A109" s="3" t="s">
        <v>147</v>
      </c>
      <c r="B109" s="3">
        <v>4</v>
      </c>
      <c r="C109" s="4" t="s">
        <v>276</v>
      </c>
      <c r="D109" s="4" t="s">
        <v>219</v>
      </c>
      <c r="E109" s="4"/>
      <c r="F109" s="4" t="s">
        <v>206</v>
      </c>
      <c r="G109" s="4" t="s">
        <v>207</v>
      </c>
      <c r="H109" s="4" t="s">
        <v>277</v>
      </c>
    </row>
    <row r="110" spans="1:8" x14ac:dyDescent="0.3">
      <c r="A110" s="3" t="s">
        <v>147</v>
      </c>
      <c r="B110" s="3">
        <v>5</v>
      </c>
      <c r="C110" s="4" t="s">
        <v>278</v>
      </c>
      <c r="D110" s="4" t="s">
        <v>279</v>
      </c>
      <c r="E110" s="4"/>
      <c r="F110" s="4" t="s">
        <v>206</v>
      </c>
      <c r="G110" s="4" t="s">
        <v>207</v>
      </c>
      <c r="H110" s="4" t="s">
        <v>280</v>
      </c>
    </row>
    <row r="111" spans="1:8" x14ac:dyDescent="0.3">
      <c r="A111" s="3" t="s">
        <v>147</v>
      </c>
      <c r="B111" s="3">
        <v>6</v>
      </c>
      <c r="C111" s="4" t="s">
        <v>281</v>
      </c>
      <c r="D111" s="4" t="s">
        <v>237</v>
      </c>
      <c r="E111" s="4">
        <v>0</v>
      </c>
      <c r="F111" s="4" t="s">
        <v>206</v>
      </c>
      <c r="G111" s="4" t="s">
        <v>238</v>
      </c>
      <c r="H111" s="4" t="s">
        <v>282</v>
      </c>
    </row>
    <row r="112" spans="1:8" x14ac:dyDescent="0.3">
      <c r="A112" s="3" t="s">
        <v>147</v>
      </c>
      <c r="B112" s="3">
        <v>7</v>
      </c>
      <c r="C112" s="4" t="s">
        <v>214</v>
      </c>
      <c r="D112" s="4" t="s">
        <v>215</v>
      </c>
      <c r="E112" s="4">
        <v>1</v>
      </c>
      <c r="F112" s="4" t="s">
        <v>197</v>
      </c>
      <c r="G112" s="4" t="s">
        <v>216</v>
      </c>
      <c r="H112" s="4" t="s">
        <v>283</v>
      </c>
    </row>
    <row r="113" spans="1:8" x14ac:dyDescent="0.3">
      <c r="A113" s="3" t="s">
        <v>147</v>
      </c>
      <c r="B113" s="3">
        <v>8</v>
      </c>
      <c r="C113" s="4" t="s">
        <v>218</v>
      </c>
      <c r="D113" s="4" t="s">
        <v>219</v>
      </c>
      <c r="E113" s="4">
        <v>0</v>
      </c>
      <c r="F113" s="4" t="s">
        <v>206</v>
      </c>
      <c r="G113" s="4" t="s">
        <v>220</v>
      </c>
      <c r="H113" s="4" t="s">
        <v>221</v>
      </c>
    </row>
    <row r="114" spans="1:8" x14ac:dyDescent="0.3">
      <c r="A114" s="3" t="s">
        <v>151</v>
      </c>
      <c r="B114" s="3">
        <v>1</v>
      </c>
      <c r="C114" s="4" t="s">
        <v>287</v>
      </c>
      <c r="D114" s="4" t="s">
        <v>196</v>
      </c>
      <c r="E114" s="4">
        <v>1</v>
      </c>
      <c r="F114" s="4" t="s">
        <v>197</v>
      </c>
      <c r="G114" s="4" t="s">
        <v>198</v>
      </c>
      <c r="H114" s="4" t="s">
        <v>199</v>
      </c>
    </row>
    <row r="115" spans="1:8" x14ac:dyDescent="0.3">
      <c r="A115" s="3" t="s">
        <v>151</v>
      </c>
      <c r="B115" s="3">
        <v>2</v>
      </c>
      <c r="C115" s="4" t="s">
        <v>200</v>
      </c>
      <c r="D115" s="4" t="s">
        <v>201</v>
      </c>
      <c r="E115" s="4">
        <v>12</v>
      </c>
      <c r="F115" s="4" t="s">
        <v>197</v>
      </c>
      <c r="G115" s="4" t="s">
        <v>202</v>
      </c>
      <c r="H115" s="4" t="s">
        <v>203</v>
      </c>
    </row>
    <row r="116" spans="1:8" x14ac:dyDescent="0.3">
      <c r="A116" s="3" t="s">
        <v>151</v>
      </c>
      <c r="B116" s="3">
        <v>3</v>
      </c>
      <c r="C116" s="4" t="s">
        <v>204</v>
      </c>
      <c r="D116" s="4" t="s">
        <v>205</v>
      </c>
      <c r="E116" s="4">
        <v>40</v>
      </c>
      <c r="F116" s="4" t="s">
        <v>206</v>
      </c>
      <c r="G116" s="4" t="s">
        <v>207</v>
      </c>
      <c r="H116" s="4" t="s">
        <v>208</v>
      </c>
    </row>
    <row r="117" spans="1:8" x14ac:dyDescent="0.3">
      <c r="A117" s="3" t="s">
        <v>151</v>
      </c>
      <c r="B117" s="3">
        <v>4</v>
      </c>
      <c r="C117" s="4" t="s">
        <v>209</v>
      </c>
      <c r="D117" s="4" t="s">
        <v>196</v>
      </c>
      <c r="E117" s="4"/>
      <c r="F117" s="4" t="s">
        <v>206</v>
      </c>
      <c r="G117" s="4" t="s">
        <v>207</v>
      </c>
      <c r="H117" s="4" t="s">
        <v>210</v>
      </c>
    </row>
    <row r="118" spans="1:8" x14ac:dyDescent="0.3">
      <c r="A118" s="3" t="s">
        <v>151</v>
      </c>
      <c r="B118" s="3">
        <v>5</v>
      </c>
      <c r="C118" s="4" t="s">
        <v>211</v>
      </c>
      <c r="D118" s="4" t="s">
        <v>212</v>
      </c>
      <c r="E118" s="4"/>
      <c r="F118" s="4" t="s">
        <v>206</v>
      </c>
      <c r="G118" s="4" t="s">
        <v>207</v>
      </c>
      <c r="H118" s="4" t="s">
        <v>213</v>
      </c>
    </row>
    <row r="119" spans="1:8" x14ac:dyDescent="0.3">
      <c r="A119" s="3" t="s">
        <v>151</v>
      </c>
      <c r="B119" s="3">
        <v>6</v>
      </c>
      <c r="C119" s="4" t="s">
        <v>214</v>
      </c>
      <c r="D119" s="4" t="s">
        <v>215</v>
      </c>
      <c r="E119" s="4">
        <v>1</v>
      </c>
      <c r="F119" s="4" t="s">
        <v>197</v>
      </c>
      <c r="G119" s="4" t="s">
        <v>216</v>
      </c>
      <c r="H119" s="4" t="s">
        <v>217</v>
      </c>
    </row>
    <row r="120" spans="1:8" x14ac:dyDescent="0.3">
      <c r="A120" s="3" t="s">
        <v>151</v>
      </c>
      <c r="B120" s="3">
        <v>7</v>
      </c>
      <c r="C120" s="4" t="s">
        <v>218</v>
      </c>
      <c r="D120" s="4" t="s">
        <v>219</v>
      </c>
      <c r="E120" s="4">
        <v>0</v>
      </c>
      <c r="F120" s="4" t="s">
        <v>206</v>
      </c>
      <c r="G120" s="4" t="s">
        <v>220</v>
      </c>
      <c r="H120" s="4" t="s">
        <v>221</v>
      </c>
    </row>
    <row r="121" spans="1:8" x14ac:dyDescent="0.3">
      <c r="A121" s="3" t="s">
        <v>151</v>
      </c>
      <c r="B121" s="3">
        <v>8</v>
      </c>
      <c r="C121" s="4" t="s">
        <v>222</v>
      </c>
      <c r="D121" s="4" t="s">
        <v>219</v>
      </c>
      <c r="E121" s="4">
        <v>0</v>
      </c>
      <c r="F121" s="4" t="s">
        <v>206</v>
      </c>
      <c r="G121" s="4" t="s">
        <v>223</v>
      </c>
      <c r="H121" s="4" t="s">
        <v>224</v>
      </c>
    </row>
    <row r="122" spans="1:8" x14ac:dyDescent="0.3">
      <c r="A122" s="3" t="s">
        <v>154</v>
      </c>
      <c r="B122" s="3">
        <v>1</v>
      </c>
      <c r="C122" s="4" t="s">
        <v>288</v>
      </c>
      <c r="D122" s="4" t="s">
        <v>196</v>
      </c>
      <c r="E122" s="4">
        <v>1</v>
      </c>
      <c r="F122" s="4" t="s">
        <v>197</v>
      </c>
      <c r="G122" s="4" t="s">
        <v>198</v>
      </c>
      <c r="H122" s="4" t="s">
        <v>199</v>
      </c>
    </row>
    <row r="123" spans="1:8" x14ac:dyDescent="0.3">
      <c r="A123" s="3" t="s">
        <v>154</v>
      </c>
      <c r="B123" s="3">
        <v>2</v>
      </c>
      <c r="C123" s="4" t="s">
        <v>233</v>
      </c>
      <c r="D123" s="4" t="s">
        <v>219</v>
      </c>
      <c r="E123" s="4"/>
      <c r="F123" s="4" t="s">
        <v>197</v>
      </c>
      <c r="G123" s="4" t="s">
        <v>234</v>
      </c>
      <c r="H123" s="4" t="s">
        <v>235</v>
      </c>
    </row>
    <row r="124" spans="1:8" x14ac:dyDescent="0.3">
      <c r="A124" s="3" t="s">
        <v>154</v>
      </c>
      <c r="B124" s="3">
        <v>3</v>
      </c>
      <c r="C124" s="4" t="s">
        <v>289</v>
      </c>
      <c r="D124" s="4" t="s">
        <v>237</v>
      </c>
      <c r="E124" s="4">
        <v>0</v>
      </c>
      <c r="F124" s="4" t="s">
        <v>197</v>
      </c>
      <c r="G124" s="4" t="s">
        <v>238</v>
      </c>
      <c r="H124" s="4" t="s">
        <v>290</v>
      </c>
    </row>
    <row r="125" spans="1:8" x14ac:dyDescent="0.3">
      <c r="A125" s="3" t="s">
        <v>154</v>
      </c>
      <c r="B125" s="3">
        <v>4</v>
      </c>
      <c r="C125" s="4" t="s">
        <v>291</v>
      </c>
      <c r="D125" s="4" t="s">
        <v>201</v>
      </c>
      <c r="E125" s="4"/>
      <c r="F125" s="4" t="s">
        <v>206</v>
      </c>
      <c r="G125" s="4" t="s">
        <v>207</v>
      </c>
      <c r="H125" s="4" t="s">
        <v>292</v>
      </c>
    </row>
    <row r="126" spans="1:8" x14ac:dyDescent="0.3">
      <c r="A126" s="3" t="s">
        <v>154</v>
      </c>
      <c r="B126" s="3">
        <v>5</v>
      </c>
      <c r="C126" s="4" t="s">
        <v>293</v>
      </c>
      <c r="D126" s="4" t="s">
        <v>196</v>
      </c>
      <c r="E126" s="4">
        <v>1</v>
      </c>
      <c r="F126" s="4" t="s">
        <v>206</v>
      </c>
      <c r="G126" s="4" t="s">
        <v>207</v>
      </c>
      <c r="H126" s="4" t="s">
        <v>294</v>
      </c>
    </row>
    <row r="127" spans="1:8" x14ac:dyDescent="0.3">
      <c r="A127" s="3" t="s">
        <v>154</v>
      </c>
      <c r="B127" s="3">
        <v>6</v>
      </c>
      <c r="C127" s="4" t="s">
        <v>295</v>
      </c>
      <c r="D127" s="4" t="s">
        <v>241</v>
      </c>
      <c r="E127" s="4">
        <v>1</v>
      </c>
      <c r="F127" s="4" t="s">
        <v>197</v>
      </c>
      <c r="G127" s="4" t="s">
        <v>242</v>
      </c>
      <c r="H127" s="4" t="s">
        <v>243</v>
      </c>
    </row>
    <row r="128" spans="1:8" x14ac:dyDescent="0.3">
      <c r="A128" s="3" t="s">
        <v>154</v>
      </c>
      <c r="B128" s="3">
        <v>7</v>
      </c>
      <c r="C128" s="4" t="s">
        <v>214</v>
      </c>
      <c r="D128" s="4" t="s">
        <v>215</v>
      </c>
      <c r="E128" s="4">
        <v>1</v>
      </c>
      <c r="F128" s="4" t="s">
        <v>197</v>
      </c>
      <c r="G128" s="4" t="s">
        <v>216</v>
      </c>
      <c r="H128" s="4" t="s">
        <v>296</v>
      </c>
    </row>
    <row r="129" spans="1:8" x14ac:dyDescent="0.3">
      <c r="A129" s="3" t="s">
        <v>154</v>
      </c>
      <c r="B129" s="3">
        <v>8</v>
      </c>
      <c r="C129" s="4" t="s">
        <v>218</v>
      </c>
      <c r="D129" s="4" t="s">
        <v>219</v>
      </c>
      <c r="E129" s="4">
        <v>0</v>
      </c>
      <c r="F129" s="4" t="s">
        <v>206</v>
      </c>
      <c r="G129" s="4" t="s">
        <v>220</v>
      </c>
      <c r="H129" s="4" t="s">
        <v>221</v>
      </c>
    </row>
    <row r="130" spans="1:8" x14ac:dyDescent="0.3">
      <c r="A130" s="3" t="s">
        <v>159</v>
      </c>
      <c r="B130" s="3">
        <v>1</v>
      </c>
      <c r="C130" s="4" t="s">
        <v>297</v>
      </c>
      <c r="D130" s="4" t="s">
        <v>196</v>
      </c>
      <c r="E130" s="4">
        <v>1</v>
      </c>
      <c r="F130" s="4" t="s">
        <v>197</v>
      </c>
      <c r="G130" s="4" t="s">
        <v>198</v>
      </c>
      <c r="H130" s="4" t="s">
        <v>199</v>
      </c>
    </row>
    <row r="131" spans="1:8" x14ac:dyDescent="0.3">
      <c r="A131" s="3" t="s">
        <v>159</v>
      </c>
      <c r="B131" s="3">
        <v>2</v>
      </c>
      <c r="C131" s="4" t="s">
        <v>251</v>
      </c>
      <c r="D131" s="4" t="s">
        <v>196</v>
      </c>
      <c r="E131" s="4">
        <v>1</v>
      </c>
      <c r="F131" s="4" t="s">
        <v>206</v>
      </c>
      <c r="G131" s="4" t="s">
        <v>207</v>
      </c>
      <c r="H131" s="4" t="s">
        <v>266</v>
      </c>
    </row>
    <row r="132" spans="1:8" ht="25.2" x14ac:dyDescent="0.3">
      <c r="A132" s="3" t="s">
        <v>159</v>
      </c>
      <c r="B132" s="3">
        <v>3</v>
      </c>
      <c r="C132" s="4" t="s">
        <v>270</v>
      </c>
      <c r="D132" s="4" t="s">
        <v>196</v>
      </c>
      <c r="E132" s="4"/>
      <c r="F132" s="4" t="s">
        <v>206</v>
      </c>
      <c r="G132" s="4" t="s">
        <v>207</v>
      </c>
      <c r="H132" s="4" t="s">
        <v>266</v>
      </c>
    </row>
    <row r="133" spans="1:8" x14ac:dyDescent="0.3">
      <c r="A133" s="3" t="s">
        <v>159</v>
      </c>
      <c r="B133" s="3">
        <v>4</v>
      </c>
      <c r="C133" s="4" t="s">
        <v>268</v>
      </c>
      <c r="D133" s="4" t="s">
        <v>241</v>
      </c>
      <c r="E133" s="4">
        <v>1</v>
      </c>
      <c r="F133" s="4" t="s">
        <v>197</v>
      </c>
      <c r="G133" s="4" t="s">
        <v>242</v>
      </c>
      <c r="H133" s="4" t="s">
        <v>254</v>
      </c>
    </row>
    <row r="134" spans="1:8" x14ac:dyDescent="0.3">
      <c r="A134" s="3" t="s">
        <v>159</v>
      </c>
      <c r="B134" s="3">
        <v>5</v>
      </c>
      <c r="C134" s="4" t="s">
        <v>255</v>
      </c>
      <c r="D134" s="4" t="s">
        <v>215</v>
      </c>
      <c r="E134" s="4">
        <v>1</v>
      </c>
      <c r="F134" s="4" t="s">
        <v>197</v>
      </c>
      <c r="G134" s="4" t="s">
        <v>216</v>
      </c>
      <c r="H134" s="4" t="s">
        <v>244</v>
      </c>
    </row>
    <row r="135" spans="1:8" x14ac:dyDescent="0.3">
      <c r="A135" s="3" t="s">
        <v>159</v>
      </c>
      <c r="B135" s="3">
        <v>6</v>
      </c>
      <c r="C135" s="4" t="s">
        <v>218</v>
      </c>
      <c r="D135" s="4" t="s">
        <v>219</v>
      </c>
      <c r="E135" s="4">
        <v>0</v>
      </c>
      <c r="F135" s="4" t="s">
        <v>206</v>
      </c>
      <c r="G135" s="4" t="s">
        <v>220</v>
      </c>
      <c r="H135" s="4" t="s">
        <v>221</v>
      </c>
    </row>
    <row r="136" spans="1:8" x14ac:dyDescent="0.3">
      <c r="A136" s="3" t="s">
        <v>159</v>
      </c>
      <c r="B136" s="3">
        <v>7</v>
      </c>
      <c r="C136" s="4" t="s">
        <v>271</v>
      </c>
      <c r="D136" s="4" t="s">
        <v>237</v>
      </c>
      <c r="E136" s="4">
        <v>0</v>
      </c>
      <c r="F136" s="4" t="s">
        <v>206</v>
      </c>
      <c r="G136" s="4" t="s">
        <v>238</v>
      </c>
      <c r="H136" s="4" t="s">
        <v>239</v>
      </c>
    </row>
    <row r="137" spans="1:8" x14ac:dyDescent="0.3">
      <c r="A137" s="3" t="s">
        <v>159</v>
      </c>
      <c r="B137" s="3">
        <v>8</v>
      </c>
      <c r="C137" s="4" t="s">
        <v>222</v>
      </c>
      <c r="D137" s="4" t="s">
        <v>219</v>
      </c>
      <c r="E137" s="4">
        <v>0</v>
      </c>
      <c r="F137" s="4" t="s">
        <v>206</v>
      </c>
      <c r="G137" s="4" t="s">
        <v>223</v>
      </c>
      <c r="H137" s="4" t="s">
        <v>224</v>
      </c>
    </row>
    <row r="138" spans="1:8" x14ac:dyDescent="0.3">
      <c r="A138" s="3" t="s">
        <v>162</v>
      </c>
      <c r="B138" s="3">
        <v>1</v>
      </c>
      <c r="C138" s="4" t="s">
        <v>227</v>
      </c>
      <c r="D138" s="4" t="s">
        <v>196</v>
      </c>
      <c r="E138" s="4">
        <v>1</v>
      </c>
      <c r="F138" s="4" t="s">
        <v>197</v>
      </c>
      <c r="G138" s="4" t="s">
        <v>198</v>
      </c>
      <c r="H138" s="4" t="s">
        <v>199</v>
      </c>
    </row>
    <row r="139" spans="1:8" x14ac:dyDescent="0.3">
      <c r="A139" s="3" t="s">
        <v>162</v>
      </c>
      <c r="B139" s="3">
        <v>2</v>
      </c>
      <c r="C139" s="4" t="s">
        <v>233</v>
      </c>
      <c r="D139" s="4" t="s">
        <v>219</v>
      </c>
      <c r="E139" s="4"/>
      <c r="F139" s="4" t="s">
        <v>197</v>
      </c>
      <c r="G139" s="4" t="s">
        <v>234</v>
      </c>
      <c r="H139" s="4" t="s">
        <v>235</v>
      </c>
    </row>
    <row r="140" spans="1:8" x14ac:dyDescent="0.3">
      <c r="A140" s="3" t="s">
        <v>162</v>
      </c>
      <c r="B140" s="3">
        <v>3</v>
      </c>
      <c r="C140" s="4" t="s">
        <v>289</v>
      </c>
      <c r="D140" s="4" t="s">
        <v>237</v>
      </c>
      <c r="E140" s="4">
        <v>0</v>
      </c>
      <c r="F140" s="4" t="s">
        <v>197</v>
      </c>
      <c r="G140" s="4" t="s">
        <v>238</v>
      </c>
      <c r="H140" s="4" t="s">
        <v>290</v>
      </c>
    </row>
    <row r="141" spans="1:8" x14ac:dyDescent="0.3">
      <c r="A141" s="3" t="s">
        <v>162</v>
      </c>
      <c r="B141" s="3">
        <v>4</v>
      </c>
      <c r="C141" s="4" t="s">
        <v>298</v>
      </c>
      <c r="D141" s="4" t="s">
        <v>201</v>
      </c>
      <c r="E141" s="4"/>
      <c r="F141" s="4" t="s">
        <v>206</v>
      </c>
      <c r="G141" s="4" t="s">
        <v>207</v>
      </c>
      <c r="H141" s="4" t="s">
        <v>292</v>
      </c>
    </row>
    <row r="142" spans="1:8" x14ac:dyDescent="0.3">
      <c r="A142" s="3" t="s">
        <v>162</v>
      </c>
      <c r="B142" s="3">
        <v>5</v>
      </c>
      <c r="C142" s="4" t="s">
        <v>293</v>
      </c>
      <c r="D142" s="4" t="s">
        <v>196</v>
      </c>
      <c r="E142" s="4">
        <v>1</v>
      </c>
      <c r="F142" s="4" t="s">
        <v>206</v>
      </c>
      <c r="G142" s="4" t="s">
        <v>207</v>
      </c>
      <c r="H142" s="4" t="s">
        <v>294</v>
      </c>
    </row>
    <row r="143" spans="1:8" x14ac:dyDescent="0.3">
      <c r="A143" s="3" t="s">
        <v>162</v>
      </c>
      <c r="B143" s="3">
        <v>6</v>
      </c>
      <c r="C143" s="4" t="s">
        <v>295</v>
      </c>
      <c r="D143" s="4" t="s">
        <v>241</v>
      </c>
      <c r="E143" s="4">
        <v>1</v>
      </c>
      <c r="F143" s="4" t="s">
        <v>197</v>
      </c>
      <c r="G143" s="4" t="s">
        <v>242</v>
      </c>
      <c r="H143" s="4" t="s">
        <v>243</v>
      </c>
    </row>
    <row r="144" spans="1:8" x14ac:dyDescent="0.3">
      <c r="A144" s="3" t="s">
        <v>162</v>
      </c>
      <c r="B144" s="3">
        <v>7</v>
      </c>
      <c r="C144" s="4" t="s">
        <v>214</v>
      </c>
      <c r="D144" s="4" t="s">
        <v>215</v>
      </c>
      <c r="E144" s="4">
        <v>1</v>
      </c>
      <c r="F144" s="4" t="s">
        <v>197</v>
      </c>
      <c r="G144" s="4" t="s">
        <v>216</v>
      </c>
      <c r="H144" s="4" t="s">
        <v>296</v>
      </c>
    </row>
    <row r="145" spans="1:8" x14ac:dyDescent="0.3">
      <c r="A145" s="3" t="s">
        <v>162</v>
      </c>
      <c r="B145" s="3">
        <v>8</v>
      </c>
      <c r="C145" s="4" t="s">
        <v>218</v>
      </c>
      <c r="D145" s="4" t="s">
        <v>219</v>
      </c>
      <c r="E145" s="4">
        <v>0</v>
      </c>
      <c r="F145" s="4" t="s">
        <v>206</v>
      </c>
      <c r="G145" s="4" t="s">
        <v>220</v>
      </c>
      <c r="H145" s="4" t="s">
        <v>221</v>
      </c>
    </row>
    <row r="146" spans="1:8" x14ac:dyDescent="0.3">
      <c r="A146" s="3" t="s">
        <v>167</v>
      </c>
      <c r="B146" s="3">
        <v>1</v>
      </c>
      <c r="C146" s="4" t="s">
        <v>288</v>
      </c>
      <c r="D146" s="4" t="s">
        <v>196</v>
      </c>
      <c r="E146" s="4">
        <v>1</v>
      </c>
      <c r="F146" s="4" t="s">
        <v>197</v>
      </c>
      <c r="G146" s="4" t="s">
        <v>198</v>
      </c>
      <c r="H146" s="4" t="s">
        <v>199</v>
      </c>
    </row>
    <row r="147" spans="1:8" x14ac:dyDescent="0.3">
      <c r="A147" s="3" t="s">
        <v>167</v>
      </c>
      <c r="B147" s="3">
        <v>2</v>
      </c>
      <c r="C147" s="4" t="s">
        <v>233</v>
      </c>
      <c r="D147" s="4" t="s">
        <v>219</v>
      </c>
      <c r="E147" s="4"/>
      <c r="F147" s="4" t="s">
        <v>197</v>
      </c>
      <c r="G147" s="4" t="s">
        <v>234</v>
      </c>
      <c r="H147" s="4" t="s">
        <v>235</v>
      </c>
    </row>
    <row r="148" spans="1:8" x14ac:dyDescent="0.3">
      <c r="A148" s="3" t="s">
        <v>167</v>
      </c>
      <c r="B148" s="3">
        <v>3</v>
      </c>
      <c r="C148" s="4" t="s">
        <v>289</v>
      </c>
      <c r="D148" s="4" t="s">
        <v>237</v>
      </c>
      <c r="E148" s="4">
        <v>0</v>
      </c>
      <c r="F148" s="4" t="s">
        <v>197</v>
      </c>
      <c r="G148" s="4" t="s">
        <v>238</v>
      </c>
      <c r="H148" s="4" t="s">
        <v>290</v>
      </c>
    </row>
    <row r="149" spans="1:8" x14ac:dyDescent="0.3">
      <c r="A149" s="3" t="s">
        <v>167</v>
      </c>
      <c r="B149" s="3">
        <v>4</v>
      </c>
      <c r="C149" s="4" t="s">
        <v>291</v>
      </c>
      <c r="D149" s="4" t="s">
        <v>201</v>
      </c>
      <c r="E149" s="4"/>
      <c r="F149" s="4" t="s">
        <v>206</v>
      </c>
      <c r="G149" s="4" t="s">
        <v>207</v>
      </c>
      <c r="H149" s="4" t="s">
        <v>292</v>
      </c>
    </row>
    <row r="150" spans="1:8" x14ac:dyDescent="0.3">
      <c r="A150" s="3" t="s">
        <v>167</v>
      </c>
      <c r="B150" s="3">
        <v>5</v>
      </c>
      <c r="C150" s="4" t="s">
        <v>293</v>
      </c>
      <c r="D150" s="4" t="s">
        <v>196</v>
      </c>
      <c r="E150" s="4">
        <v>1</v>
      </c>
      <c r="F150" s="4" t="s">
        <v>206</v>
      </c>
      <c r="G150" s="4" t="s">
        <v>207</v>
      </c>
      <c r="H150" s="4" t="s">
        <v>294</v>
      </c>
    </row>
    <row r="151" spans="1:8" x14ac:dyDescent="0.3">
      <c r="A151" s="3" t="s">
        <v>167</v>
      </c>
      <c r="B151" s="3">
        <v>6</v>
      </c>
      <c r="C151" s="4" t="s">
        <v>295</v>
      </c>
      <c r="D151" s="4" t="s">
        <v>241</v>
      </c>
      <c r="E151" s="4">
        <v>1</v>
      </c>
      <c r="F151" s="4" t="s">
        <v>197</v>
      </c>
      <c r="G151" s="4" t="s">
        <v>242</v>
      </c>
      <c r="H151" s="4" t="s">
        <v>243</v>
      </c>
    </row>
    <row r="152" spans="1:8" x14ac:dyDescent="0.3">
      <c r="A152" s="3" t="s">
        <v>167</v>
      </c>
      <c r="B152" s="3">
        <v>7</v>
      </c>
      <c r="C152" s="4" t="s">
        <v>214</v>
      </c>
      <c r="D152" s="4" t="s">
        <v>215</v>
      </c>
      <c r="E152" s="4">
        <v>1</v>
      </c>
      <c r="F152" s="4" t="s">
        <v>197</v>
      </c>
      <c r="G152" s="4" t="s">
        <v>216</v>
      </c>
      <c r="H152" s="4" t="s">
        <v>296</v>
      </c>
    </row>
    <row r="153" spans="1:8" x14ac:dyDescent="0.3">
      <c r="A153" s="3" t="s">
        <v>167</v>
      </c>
      <c r="B153" s="3">
        <v>8</v>
      </c>
      <c r="C153" s="4" t="s">
        <v>218</v>
      </c>
      <c r="D153" s="4" t="s">
        <v>219</v>
      </c>
      <c r="E153" s="4">
        <v>0</v>
      </c>
      <c r="F153" s="4" t="s">
        <v>206</v>
      </c>
      <c r="G153" s="4" t="s">
        <v>220</v>
      </c>
      <c r="H153" s="4" t="s">
        <v>221</v>
      </c>
    </row>
    <row r="154" spans="1:8" x14ac:dyDescent="0.3">
      <c r="A154" s="3" t="s">
        <v>170</v>
      </c>
      <c r="B154" s="3">
        <v>1</v>
      </c>
      <c r="C154" s="4" t="s">
        <v>227</v>
      </c>
      <c r="D154" s="4" t="s">
        <v>196</v>
      </c>
      <c r="E154" s="4">
        <v>1</v>
      </c>
      <c r="F154" s="4" t="s">
        <v>197</v>
      </c>
      <c r="G154" s="4" t="s">
        <v>198</v>
      </c>
      <c r="H154" s="4" t="s">
        <v>199</v>
      </c>
    </row>
    <row r="155" spans="1:8" x14ac:dyDescent="0.3">
      <c r="A155" s="3" t="s">
        <v>170</v>
      </c>
      <c r="B155" s="3">
        <v>2</v>
      </c>
      <c r="C155" s="4" t="s">
        <v>299</v>
      </c>
      <c r="D155" s="4" t="s">
        <v>201</v>
      </c>
      <c r="E155" s="4">
        <v>12</v>
      </c>
      <c r="F155" s="4" t="s">
        <v>197</v>
      </c>
      <c r="G155" s="4" t="s">
        <v>202</v>
      </c>
      <c r="H155" s="4" t="s">
        <v>275</v>
      </c>
    </row>
    <row r="156" spans="1:8" x14ac:dyDescent="0.3">
      <c r="A156" s="3" t="s">
        <v>170</v>
      </c>
      <c r="B156" s="3">
        <v>3</v>
      </c>
      <c r="C156" s="4" t="s">
        <v>300</v>
      </c>
      <c r="D156" s="4" t="s">
        <v>219</v>
      </c>
      <c r="E156" s="4"/>
      <c r="F156" s="4" t="s">
        <v>197</v>
      </c>
      <c r="G156" s="4" t="s">
        <v>234</v>
      </c>
      <c r="H156" s="4" t="s">
        <v>235</v>
      </c>
    </row>
    <row r="157" spans="1:8" x14ac:dyDescent="0.3">
      <c r="A157" s="3" t="s">
        <v>170</v>
      </c>
      <c r="B157" s="3">
        <v>4</v>
      </c>
      <c r="C157" s="4" t="s">
        <v>301</v>
      </c>
      <c r="D157" s="4" t="s">
        <v>219</v>
      </c>
      <c r="E157" s="4"/>
      <c r="F157" s="4" t="s">
        <v>206</v>
      </c>
      <c r="G157" s="4" t="s">
        <v>207</v>
      </c>
      <c r="H157" s="4" t="s">
        <v>292</v>
      </c>
    </row>
    <row r="158" spans="1:8" x14ac:dyDescent="0.3">
      <c r="A158" s="3" t="s">
        <v>170</v>
      </c>
      <c r="B158" s="3">
        <v>5</v>
      </c>
      <c r="C158" s="4" t="s">
        <v>289</v>
      </c>
      <c r="D158" s="4" t="s">
        <v>237</v>
      </c>
      <c r="E158" s="4">
        <v>0</v>
      </c>
      <c r="F158" s="4" t="s">
        <v>206</v>
      </c>
      <c r="G158" s="4" t="s">
        <v>238</v>
      </c>
      <c r="H158" s="4" t="s">
        <v>282</v>
      </c>
    </row>
    <row r="159" spans="1:8" x14ac:dyDescent="0.3">
      <c r="A159" s="3" t="s">
        <v>170</v>
      </c>
      <c r="B159" s="3">
        <v>6</v>
      </c>
      <c r="C159" s="4" t="s">
        <v>214</v>
      </c>
      <c r="D159" s="4" t="s">
        <v>215</v>
      </c>
      <c r="E159" s="4">
        <v>1</v>
      </c>
      <c r="F159" s="4" t="s">
        <v>197</v>
      </c>
      <c r="G159" s="4" t="s">
        <v>216</v>
      </c>
      <c r="H159" s="4" t="s">
        <v>302</v>
      </c>
    </row>
    <row r="160" spans="1:8" x14ac:dyDescent="0.3">
      <c r="A160" s="3" t="s">
        <v>170</v>
      </c>
      <c r="B160" s="3">
        <v>7</v>
      </c>
      <c r="C160" s="4" t="s">
        <v>218</v>
      </c>
      <c r="D160" s="4" t="s">
        <v>219</v>
      </c>
      <c r="E160" s="4">
        <v>0</v>
      </c>
      <c r="F160" s="4" t="s">
        <v>206</v>
      </c>
      <c r="G160" s="4" t="s">
        <v>220</v>
      </c>
      <c r="H160" s="4" t="s">
        <v>221</v>
      </c>
    </row>
    <row r="161" spans="1:8" x14ac:dyDescent="0.3">
      <c r="A161" s="3" t="s">
        <v>170</v>
      </c>
      <c r="B161" s="3">
        <v>8</v>
      </c>
      <c r="C161" s="4" t="s">
        <v>303</v>
      </c>
      <c r="D161" s="4" t="s">
        <v>247</v>
      </c>
      <c r="E161" s="4"/>
      <c r="F161" s="4" t="s">
        <v>206</v>
      </c>
      <c r="G161" s="4" t="s">
        <v>207</v>
      </c>
      <c r="H161" s="4" t="s">
        <v>304</v>
      </c>
    </row>
    <row r="162" spans="1:8" ht="25.2" x14ac:dyDescent="0.3">
      <c r="A162" s="3" t="s">
        <v>174</v>
      </c>
      <c r="B162" s="3">
        <v>1</v>
      </c>
      <c r="C162" s="4" t="s">
        <v>305</v>
      </c>
      <c r="D162" s="4" t="s">
        <v>196</v>
      </c>
      <c r="E162" s="4">
        <v>1</v>
      </c>
      <c r="F162" s="4" t="s">
        <v>197</v>
      </c>
      <c r="G162" s="4" t="s">
        <v>198</v>
      </c>
      <c r="H162" s="4" t="s">
        <v>250</v>
      </c>
    </row>
    <row r="163" spans="1:8" x14ac:dyDescent="0.3">
      <c r="A163" s="3" t="s">
        <v>174</v>
      </c>
      <c r="B163" s="3">
        <v>2</v>
      </c>
      <c r="C163" s="4" t="s">
        <v>251</v>
      </c>
      <c r="D163" s="4" t="s">
        <v>196</v>
      </c>
      <c r="E163" s="4">
        <v>1</v>
      </c>
      <c r="F163" s="4" t="s">
        <v>206</v>
      </c>
      <c r="G163" s="4" t="s">
        <v>207</v>
      </c>
      <c r="H163" s="4" t="s">
        <v>252</v>
      </c>
    </row>
    <row r="164" spans="1:8" x14ac:dyDescent="0.3">
      <c r="A164" s="3" t="s">
        <v>174</v>
      </c>
      <c r="B164" s="3">
        <v>3</v>
      </c>
      <c r="C164" s="4" t="s">
        <v>253</v>
      </c>
      <c r="D164" s="4" t="s">
        <v>241</v>
      </c>
      <c r="E164" s="4">
        <v>1</v>
      </c>
      <c r="F164" s="4" t="s">
        <v>197</v>
      </c>
      <c r="G164" s="4" t="s">
        <v>242</v>
      </c>
      <c r="H164" s="4" t="s">
        <v>254</v>
      </c>
    </row>
    <row r="165" spans="1:8" x14ac:dyDescent="0.3">
      <c r="A165" s="3" t="s">
        <v>174</v>
      </c>
      <c r="B165" s="3">
        <v>4</v>
      </c>
      <c r="C165" s="4" t="s">
        <v>255</v>
      </c>
      <c r="D165" s="4" t="s">
        <v>215</v>
      </c>
      <c r="E165" s="4">
        <v>1</v>
      </c>
      <c r="F165" s="4" t="s">
        <v>197</v>
      </c>
      <c r="G165" s="4" t="s">
        <v>216</v>
      </c>
      <c r="H165" s="4" t="s">
        <v>256</v>
      </c>
    </row>
    <row r="166" spans="1:8" x14ac:dyDescent="0.3">
      <c r="A166" s="3" t="s">
        <v>174</v>
      </c>
      <c r="B166" s="3">
        <v>5</v>
      </c>
      <c r="C166" s="4" t="s">
        <v>218</v>
      </c>
      <c r="D166" s="4" t="s">
        <v>219</v>
      </c>
      <c r="E166" s="4">
        <v>0</v>
      </c>
      <c r="F166" s="4" t="s">
        <v>206</v>
      </c>
      <c r="G166" s="4" t="s">
        <v>220</v>
      </c>
      <c r="H166" s="4" t="s">
        <v>221</v>
      </c>
    </row>
    <row r="167" spans="1:8" x14ac:dyDescent="0.3">
      <c r="A167" s="3" t="s">
        <v>174</v>
      </c>
      <c r="B167" s="3">
        <v>6</v>
      </c>
      <c r="C167" s="4" t="s">
        <v>257</v>
      </c>
      <c r="D167" s="4" t="s">
        <v>237</v>
      </c>
      <c r="E167" s="4">
        <v>0</v>
      </c>
      <c r="F167" s="4" t="s">
        <v>206</v>
      </c>
      <c r="G167" s="4" t="s">
        <v>238</v>
      </c>
      <c r="H167" s="4" t="s">
        <v>258</v>
      </c>
    </row>
    <row r="168" spans="1:8" x14ac:dyDescent="0.3">
      <c r="A168" s="3" t="s">
        <v>174</v>
      </c>
      <c r="B168" s="3">
        <v>7</v>
      </c>
      <c r="C168" s="4" t="s">
        <v>259</v>
      </c>
      <c r="D168" s="4" t="s">
        <v>260</v>
      </c>
      <c r="E168" s="4"/>
      <c r="F168" s="4" t="s">
        <v>206</v>
      </c>
      <c r="G168" s="4" t="s">
        <v>207</v>
      </c>
      <c r="H168" s="4" t="s">
        <v>261</v>
      </c>
    </row>
    <row r="169" spans="1:8" x14ac:dyDescent="0.3">
      <c r="A169" s="3" t="s">
        <v>174</v>
      </c>
      <c r="B169" s="3">
        <v>8</v>
      </c>
      <c r="C169" s="4" t="s">
        <v>262</v>
      </c>
      <c r="D169" s="4" t="s">
        <v>263</v>
      </c>
      <c r="E169" s="4"/>
      <c r="F169" s="4" t="s">
        <v>206</v>
      </c>
      <c r="G169" s="4" t="s">
        <v>207</v>
      </c>
      <c r="H169" s="4" t="s">
        <v>261</v>
      </c>
    </row>
    <row r="170" spans="1:8" x14ac:dyDescent="0.3">
      <c r="A170" s="3" t="s">
        <v>178</v>
      </c>
      <c r="B170" s="3">
        <v>1</v>
      </c>
      <c r="C170" s="4" t="s">
        <v>306</v>
      </c>
      <c r="D170" s="4" t="s">
        <v>196</v>
      </c>
      <c r="E170" s="4">
        <v>1</v>
      </c>
      <c r="F170" s="4" t="s">
        <v>197</v>
      </c>
      <c r="G170" s="4" t="s">
        <v>198</v>
      </c>
      <c r="H170" s="4" t="s">
        <v>199</v>
      </c>
    </row>
    <row r="171" spans="1:8" x14ac:dyDescent="0.3">
      <c r="A171" s="3" t="s">
        <v>178</v>
      </c>
      <c r="B171" s="3">
        <v>2</v>
      </c>
      <c r="C171" s="4" t="s">
        <v>200</v>
      </c>
      <c r="D171" s="4" t="s">
        <v>201</v>
      </c>
      <c r="E171" s="4">
        <v>12</v>
      </c>
      <c r="F171" s="4" t="s">
        <v>197</v>
      </c>
      <c r="G171" s="4" t="s">
        <v>202</v>
      </c>
      <c r="H171" s="4" t="s">
        <v>203</v>
      </c>
    </row>
    <row r="172" spans="1:8" x14ac:dyDescent="0.3">
      <c r="A172" s="3" t="s">
        <v>178</v>
      </c>
      <c r="B172" s="3">
        <v>3</v>
      </c>
      <c r="C172" s="4" t="s">
        <v>204</v>
      </c>
      <c r="D172" s="4" t="s">
        <v>205</v>
      </c>
      <c r="E172" s="4">
        <v>40</v>
      </c>
      <c r="F172" s="4" t="s">
        <v>206</v>
      </c>
      <c r="G172" s="4" t="s">
        <v>207</v>
      </c>
      <c r="H172" s="4" t="s">
        <v>208</v>
      </c>
    </row>
    <row r="173" spans="1:8" x14ac:dyDescent="0.3">
      <c r="A173" s="3" t="s">
        <v>178</v>
      </c>
      <c r="B173" s="3">
        <v>4</v>
      </c>
      <c r="C173" s="4" t="s">
        <v>209</v>
      </c>
      <c r="D173" s="4" t="s">
        <v>196</v>
      </c>
      <c r="E173" s="4"/>
      <c r="F173" s="4" t="s">
        <v>206</v>
      </c>
      <c r="G173" s="4" t="s">
        <v>207</v>
      </c>
      <c r="H173" s="4" t="s">
        <v>210</v>
      </c>
    </row>
    <row r="174" spans="1:8" x14ac:dyDescent="0.3">
      <c r="A174" s="3" t="s">
        <v>178</v>
      </c>
      <c r="B174" s="3">
        <v>5</v>
      </c>
      <c r="C174" s="4" t="s">
        <v>211</v>
      </c>
      <c r="D174" s="4" t="s">
        <v>212</v>
      </c>
      <c r="E174" s="4"/>
      <c r="F174" s="4" t="s">
        <v>206</v>
      </c>
      <c r="G174" s="4" t="s">
        <v>207</v>
      </c>
      <c r="H174" s="4" t="s">
        <v>213</v>
      </c>
    </row>
    <row r="175" spans="1:8" x14ac:dyDescent="0.3">
      <c r="A175" s="3" t="s">
        <v>178</v>
      </c>
      <c r="B175" s="3">
        <v>6</v>
      </c>
      <c r="C175" s="4" t="s">
        <v>214</v>
      </c>
      <c r="D175" s="4" t="s">
        <v>215</v>
      </c>
      <c r="E175" s="4">
        <v>1</v>
      </c>
      <c r="F175" s="4" t="s">
        <v>197</v>
      </c>
      <c r="G175" s="4" t="s">
        <v>216</v>
      </c>
      <c r="H175" s="4" t="s">
        <v>217</v>
      </c>
    </row>
    <row r="176" spans="1:8" x14ac:dyDescent="0.3">
      <c r="A176" s="3" t="s">
        <v>178</v>
      </c>
      <c r="B176" s="3">
        <v>7</v>
      </c>
      <c r="C176" s="4" t="s">
        <v>218</v>
      </c>
      <c r="D176" s="4" t="s">
        <v>219</v>
      </c>
      <c r="E176" s="4">
        <v>0</v>
      </c>
      <c r="F176" s="4" t="s">
        <v>206</v>
      </c>
      <c r="G176" s="4" t="s">
        <v>220</v>
      </c>
      <c r="H176" s="4" t="s">
        <v>221</v>
      </c>
    </row>
    <row r="177" spans="1:8" x14ac:dyDescent="0.3">
      <c r="A177" s="3" t="s">
        <v>178</v>
      </c>
      <c r="B177" s="3">
        <v>8</v>
      </c>
      <c r="C177" s="4" t="s">
        <v>222</v>
      </c>
      <c r="D177" s="4" t="s">
        <v>219</v>
      </c>
      <c r="E177" s="4">
        <v>0</v>
      </c>
      <c r="F177" s="4" t="s">
        <v>206</v>
      </c>
      <c r="G177" s="4" t="s">
        <v>223</v>
      </c>
      <c r="H177" s="4" t="s">
        <v>224</v>
      </c>
    </row>
    <row r="178" spans="1:8" x14ac:dyDescent="0.3">
      <c r="A178" s="3" t="s">
        <v>181</v>
      </c>
      <c r="B178" s="3">
        <v>1</v>
      </c>
      <c r="C178" s="4" t="s">
        <v>307</v>
      </c>
      <c r="D178" s="4" t="s">
        <v>196</v>
      </c>
      <c r="E178" s="4">
        <v>1</v>
      </c>
      <c r="F178" s="4" t="s">
        <v>197</v>
      </c>
      <c r="G178" s="4" t="s">
        <v>198</v>
      </c>
      <c r="H178" s="4" t="s">
        <v>199</v>
      </c>
    </row>
    <row r="179" spans="1:8" x14ac:dyDescent="0.3">
      <c r="A179" s="3" t="s">
        <v>181</v>
      </c>
      <c r="B179" s="3">
        <v>2</v>
      </c>
      <c r="C179" s="4" t="s">
        <v>251</v>
      </c>
      <c r="D179" s="4" t="s">
        <v>196</v>
      </c>
      <c r="E179" s="4">
        <v>1</v>
      </c>
      <c r="F179" s="4" t="s">
        <v>206</v>
      </c>
      <c r="G179" s="4" t="s">
        <v>207</v>
      </c>
      <c r="H179" s="4" t="s">
        <v>266</v>
      </c>
    </row>
    <row r="180" spans="1:8" ht="25.2" x14ac:dyDescent="0.3">
      <c r="A180" s="3" t="s">
        <v>181</v>
      </c>
      <c r="B180" s="3">
        <v>3</v>
      </c>
      <c r="C180" s="4" t="s">
        <v>270</v>
      </c>
      <c r="D180" s="4" t="s">
        <v>196</v>
      </c>
      <c r="E180" s="4"/>
      <c r="F180" s="4" t="s">
        <v>206</v>
      </c>
      <c r="G180" s="4" t="s">
        <v>207</v>
      </c>
      <c r="H180" s="4" t="s">
        <v>266</v>
      </c>
    </row>
    <row r="181" spans="1:8" x14ac:dyDescent="0.3">
      <c r="A181" s="3" t="s">
        <v>181</v>
      </c>
      <c r="B181" s="3">
        <v>4</v>
      </c>
      <c r="C181" s="4" t="s">
        <v>268</v>
      </c>
      <c r="D181" s="4" t="s">
        <v>241</v>
      </c>
      <c r="E181" s="4">
        <v>1</v>
      </c>
      <c r="F181" s="4" t="s">
        <v>197</v>
      </c>
      <c r="G181" s="4" t="s">
        <v>242</v>
      </c>
      <c r="H181" s="4" t="s">
        <v>254</v>
      </c>
    </row>
    <row r="182" spans="1:8" x14ac:dyDescent="0.3">
      <c r="A182" s="3" t="s">
        <v>181</v>
      </c>
      <c r="B182" s="3">
        <v>5</v>
      </c>
      <c r="C182" s="4" t="s">
        <v>255</v>
      </c>
      <c r="D182" s="4" t="s">
        <v>215</v>
      </c>
      <c r="E182" s="4">
        <v>1</v>
      </c>
      <c r="F182" s="4" t="s">
        <v>197</v>
      </c>
      <c r="G182" s="4" t="s">
        <v>216</v>
      </c>
      <c r="H182" s="4" t="s">
        <v>244</v>
      </c>
    </row>
    <row r="183" spans="1:8" x14ac:dyDescent="0.3">
      <c r="A183" s="3" t="s">
        <v>181</v>
      </c>
      <c r="B183" s="3">
        <v>6</v>
      </c>
      <c r="C183" s="4" t="s">
        <v>218</v>
      </c>
      <c r="D183" s="4" t="s">
        <v>219</v>
      </c>
      <c r="E183" s="4">
        <v>0</v>
      </c>
      <c r="F183" s="4" t="s">
        <v>206</v>
      </c>
      <c r="G183" s="4" t="s">
        <v>220</v>
      </c>
      <c r="H183" s="4" t="s">
        <v>221</v>
      </c>
    </row>
    <row r="184" spans="1:8" x14ac:dyDescent="0.3">
      <c r="A184" s="3" t="s">
        <v>181</v>
      </c>
      <c r="B184" s="3">
        <v>7</v>
      </c>
      <c r="C184" s="4" t="s">
        <v>271</v>
      </c>
      <c r="D184" s="4" t="s">
        <v>237</v>
      </c>
      <c r="E184" s="4">
        <v>0</v>
      </c>
      <c r="F184" s="4" t="s">
        <v>206</v>
      </c>
      <c r="G184" s="4" t="s">
        <v>238</v>
      </c>
      <c r="H184" s="4" t="s">
        <v>239</v>
      </c>
    </row>
    <row r="185" spans="1:8" x14ac:dyDescent="0.3">
      <c r="A185" s="3" t="s">
        <v>181</v>
      </c>
      <c r="B185" s="3">
        <v>8</v>
      </c>
      <c r="C185" s="4" t="s">
        <v>222</v>
      </c>
      <c r="D185" s="4" t="s">
        <v>219</v>
      </c>
      <c r="E185" s="4">
        <v>0</v>
      </c>
      <c r="F185" s="4" t="s">
        <v>206</v>
      </c>
      <c r="G185" s="4" t="s">
        <v>223</v>
      </c>
      <c r="H185" s="4" t="s">
        <v>224</v>
      </c>
    </row>
    <row r="186" spans="1:8" x14ac:dyDescent="0.3">
      <c r="A186" s="3" t="s">
        <v>184</v>
      </c>
      <c r="B186" s="3">
        <v>1</v>
      </c>
      <c r="C186" s="4" t="s">
        <v>308</v>
      </c>
      <c r="D186" s="4" t="s">
        <v>196</v>
      </c>
      <c r="E186" s="4">
        <v>1</v>
      </c>
      <c r="F186" s="4" t="s">
        <v>197</v>
      </c>
      <c r="G186" s="4" t="s">
        <v>198</v>
      </c>
      <c r="H186" s="4" t="s">
        <v>199</v>
      </c>
    </row>
    <row r="187" spans="1:8" x14ac:dyDescent="0.3">
      <c r="A187" s="3" t="s">
        <v>184</v>
      </c>
      <c r="B187" s="3">
        <v>2</v>
      </c>
      <c r="C187" s="4" t="s">
        <v>233</v>
      </c>
      <c r="D187" s="4" t="s">
        <v>219</v>
      </c>
      <c r="E187" s="4"/>
      <c r="F187" s="4" t="s">
        <v>197</v>
      </c>
      <c r="G187" s="4" t="s">
        <v>234</v>
      </c>
      <c r="H187" s="4" t="s">
        <v>235</v>
      </c>
    </row>
    <row r="188" spans="1:8" x14ac:dyDescent="0.3">
      <c r="A188" s="3" t="s">
        <v>184</v>
      </c>
      <c r="B188" s="3">
        <v>3</v>
      </c>
      <c r="C188" s="4" t="s">
        <v>289</v>
      </c>
      <c r="D188" s="4" t="s">
        <v>237</v>
      </c>
      <c r="E188" s="4">
        <v>0</v>
      </c>
      <c r="F188" s="4" t="s">
        <v>197</v>
      </c>
      <c r="G188" s="4" t="s">
        <v>238</v>
      </c>
      <c r="H188" s="4" t="s">
        <v>290</v>
      </c>
    </row>
    <row r="189" spans="1:8" x14ac:dyDescent="0.3">
      <c r="A189" s="3" t="s">
        <v>184</v>
      </c>
      <c r="B189" s="3">
        <v>4</v>
      </c>
      <c r="C189" s="4" t="s">
        <v>298</v>
      </c>
      <c r="D189" s="4" t="s">
        <v>201</v>
      </c>
      <c r="E189" s="4"/>
      <c r="F189" s="4" t="s">
        <v>206</v>
      </c>
      <c r="G189" s="4" t="s">
        <v>207</v>
      </c>
      <c r="H189" s="4" t="s">
        <v>292</v>
      </c>
    </row>
    <row r="190" spans="1:8" x14ac:dyDescent="0.3">
      <c r="A190" s="3" t="s">
        <v>184</v>
      </c>
      <c r="B190" s="3">
        <v>5</v>
      </c>
      <c r="C190" s="4" t="s">
        <v>293</v>
      </c>
      <c r="D190" s="4" t="s">
        <v>196</v>
      </c>
      <c r="E190" s="4">
        <v>1</v>
      </c>
      <c r="F190" s="4" t="s">
        <v>206</v>
      </c>
      <c r="G190" s="4" t="s">
        <v>207</v>
      </c>
      <c r="H190" s="4" t="s">
        <v>294</v>
      </c>
    </row>
    <row r="191" spans="1:8" x14ac:dyDescent="0.3">
      <c r="A191" s="3" t="s">
        <v>184</v>
      </c>
      <c r="B191" s="3">
        <v>6</v>
      </c>
      <c r="C191" s="4" t="s">
        <v>295</v>
      </c>
      <c r="D191" s="4" t="s">
        <v>241</v>
      </c>
      <c r="E191" s="4">
        <v>1</v>
      </c>
      <c r="F191" s="4" t="s">
        <v>197</v>
      </c>
      <c r="G191" s="4" t="s">
        <v>242</v>
      </c>
      <c r="H191" s="4" t="s">
        <v>243</v>
      </c>
    </row>
    <row r="192" spans="1:8" x14ac:dyDescent="0.3">
      <c r="A192" s="3" t="s">
        <v>184</v>
      </c>
      <c r="B192" s="3">
        <v>7</v>
      </c>
      <c r="C192" s="4" t="s">
        <v>214</v>
      </c>
      <c r="D192" s="4" t="s">
        <v>215</v>
      </c>
      <c r="E192" s="4">
        <v>1</v>
      </c>
      <c r="F192" s="4" t="s">
        <v>197</v>
      </c>
      <c r="G192" s="4" t="s">
        <v>216</v>
      </c>
      <c r="H192" s="4" t="s">
        <v>296</v>
      </c>
    </row>
    <row r="193" spans="1:8" x14ac:dyDescent="0.3">
      <c r="A193" s="3" t="s">
        <v>184</v>
      </c>
      <c r="B193" s="3">
        <v>8</v>
      </c>
      <c r="C193" s="4" t="s">
        <v>218</v>
      </c>
      <c r="D193" s="4" t="s">
        <v>219</v>
      </c>
      <c r="E193" s="4">
        <v>0</v>
      </c>
      <c r="F193" s="4" t="s">
        <v>206</v>
      </c>
      <c r="G193" s="4" t="s">
        <v>220</v>
      </c>
      <c r="H193" s="4" t="s">
        <v>221</v>
      </c>
    </row>
    <row r="194" spans="1:8" x14ac:dyDescent="0.3">
      <c r="A194" s="3" t="s">
        <v>186</v>
      </c>
      <c r="B194" s="3">
        <v>1</v>
      </c>
      <c r="C194" s="4" t="s">
        <v>309</v>
      </c>
      <c r="D194" s="4" t="s">
        <v>196</v>
      </c>
      <c r="E194" s="4">
        <v>1</v>
      </c>
      <c r="F194" s="4" t="s">
        <v>197</v>
      </c>
      <c r="G194" s="4" t="s">
        <v>198</v>
      </c>
      <c r="H194" s="4" t="s">
        <v>199</v>
      </c>
    </row>
    <row r="195" spans="1:8" x14ac:dyDescent="0.3">
      <c r="A195" s="3" t="s">
        <v>186</v>
      </c>
      <c r="B195" s="3">
        <v>2</v>
      </c>
      <c r="C195" s="4" t="s">
        <v>233</v>
      </c>
      <c r="D195" s="4" t="s">
        <v>219</v>
      </c>
      <c r="E195" s="4"/>
      <c r="F195" s="4" t="s">
        <v>197</v>
      </c>
      <c r="G195" s="4" t="s">
        <v>234</v>
      </c>
      <c r="H195" s="4" t="s">
        <v>235</v>
      </c>
    </row>
    <row r="196" spans="1:8" x14ac:dyDescent="0.3">
      <c r="A196" s="3" t="s">
        <v>186</v>
      </c>
      <c r="B196" s="3">
        <v>3</v>
      </c>
      <c r="C196" s="4" t="s">
        <v>289</v>
      </c>
      <c r="D196" s="4" t="s">
        <v>237</v>
      </c>
      <c r="E196" s="4">
        <v>0</v>
      </c>
      <c r="F196" s="4" t="s">
        <v>197</v>
      </c>
      <c r="G196" s="4" t="s">
        <v>238</v>
      </c>
      <c r="H196" s="4" t="s">
        <v>290</v>
      </c>
    </row>
    <row r="197" spans="1:8" x14ac:dyDescent="0.3">
      <c r="A197" s="3" t="s">
        <v>186</v>
      </c>
      <c r="B197" s="3">
        <v>4</v>
      </c>
      <c r="C197" s="4" t="s">
        <v>291</v>
      </c>
      <c r="D197" s="4" t="s">
        <v>201</v>
      </c>
      <c r="E197" s="4"/>
      <c r="F197" s="4" t="s">
        <v>206</v>
      </c>
      <c r="G197" s="4" t="s">
        <v>207</v>
      </c>
      <c r="H197" s="4" t="s">
        <v>292</v>
      </c>
    </row>
    <row r="198" spans="1:8" x14ac:dyDescent="0.3">
      <c r="A198" s="3" t="s">
        <v>186</v>
      </c>
      <c r="B198" s="3">
        <v>5</v>
      </c>
      <c r="C198" s="4" t="s">
        <v>293</v>
      </c>
      <c r="D198" s="4" t="s">
        <v>196</v>
      </c>
      <c r="E198" s="4">
        <v>1</v>
      </c>
      <c r="F198" s="4" t="s">
        <v>206</v>
      </c>
      <c r="G198" s="4" t="s">
        <v>207</v>
      </c>
      <c r="H198" s="4" t="s">
        <v>294</v>
      </c>
    </row>
    <row r="199" spans="1:8" x14ac:dyDescent="0.3">
      <c r="A199" s="3" t="s">
        <v>186</v>
      </c>
      <c r="B199" s="3">
        <v>6</v>
      </c>
      <c r="C199" s="4" t="s">
        <v>295</v>
      </c>
      <c r="D199" s="4" t="s">
        <v>241</v>
      </c>
      <c r="E199" s="4">
        <v>1</v>
      </c>
      <c r="F199" s="4" t="s">
        <v>197</v>
      </c>
      <c r="G199" s="4" t="s">
        <v>242</v>
      </c>
      <c r="H199" s="4" t="s">
        <v>243</v>
      </c>
    </row>
    <row r="200" spans="1:8" x14ac:dyDescent="0.3">
      <c r="A200" s="3" t="s">
        <v>186</v>
      </c>
      <c r="B200" s="3">
        <v>7</v>
      </c>
      <c r="C200" s="4" t="s">
        <v>214</v>
      </c>
      <c r="D200" s="4" t="s">
        <v>215</v>
      </c>
      <c r="E200" s="4">
        <v>1</v>
      </c>
      <c r="F200" s="4" t="s">
        <v>197</v>
      </c>
      <c r="G200" s="4" t="s">
        <v>216</v>
      </c>
      <c r="H200" s="4" t="s">
        <v>296</v>
      </c>
    </row>
    <row r="201" spans="1:8" x14ac:dyDescent="0.3">
      <c r="A201" s="3" t="s">
        <v>186</v>
      </c>
      <c r="B201" s="3">
        <v>8</v>
      </c>
      <c r="C201" s="4" t="s">
        <v>218</v>
      </c>
      <c r="D201" s="4" t="s">
        <v>219</v>
      </c>
      <c r="E201" s="4">
        <v>0</v>
      </c>
      <c r="F201" s="4" t="s">
        <v>206</v>
      </c>
      <c r="G201" s="4" t="s">
        <v>220</v>
      </c>
      <c r="H201" s="4" t="s">
        <v>221</v>
      </c>
    </row>
    <row r="202" spans="1:8" x14ac:dyDescent="0.3">
      <c r="A202" s="3" t="s">
        <v>188</v>
      </c>
      <c r="B202" s="3">
        <v>1</v>
      </c>
      <c r="C202" s="4" t="s">
        <v>306</v>
      </c>
      <c r="D202" s="4" t="s">
        <v>196</v>
      </c>
      <c r="E202" s="4">
        <v>1</v>
      </c>
      <c r="F202" s="4" t="s">
        <v>197</v>
      </c>
      <c r="G202" s="4" t="s">
        <v>198</v>
      </c>
      <c r="H202" s="4" t="s">
        <v>199</v>
      </c>
    </row>
    <row r="203" spans="1:8" x14ac:dyDescent="0.3">
      <c r="A203" s="3" t="s">
        <v>188</v>
      </c>
      <c r="B203" s="3">
        <v>2</v>
      </c>
      <c r="C203" s="4" t="s">
        <v>200</v>
      </c>
      <c r="D203" s="4" t="s">
        <v>201</v>
      </c>
      <c r="E203" s="4">
        <v>4</v>
      </c>
      <c r="F203" s="4" t="s">
        <v>197</v>
      </c>
      <c r="G203" s="4" t="s">
        <v>202</v>
      </c>
      <c r="H203" s="4" t="s">
        <v>203</v>
      </c>
    </row>
    <row r="204" spans="1:8" x14ac:dyDescent="0.3">
      <c r="A204" s="3" t="s">
        <v>188</v>
      </c>
      <c r="B204" s="3">
        <v>3</v>
      </c>
      <c r="C204" s="4" t="s">
        <v>204</v>
      </c>
      <c r="D204" s="4" t="s">
        <v>205</v>
      </c>
      <c r="E204" s="4">
        <v>40</v>
      </c>
      <c r="F204" s="4" t="s">
        <v>206</v>
      </c>
      <c r="G204" s="4" t="s">
        <v>207</v>
      </c>
      <c r="H204" s="4" t="s">
        <v>208</v>
      </c>
    </row>
    <row r="205" spans="1:8" x14ac:dyDescent="0.3">
      <c r="A205" s="3" t="s">
        <v>188</v>
      </c>
      <c r="B205" s="3">
        <v>4</v>
      </c>
      <c r="C205" s="4" t="s">
        <v>209</v>
      </c>
      <c r="D205" s="4" t="s">
        <v>196</v>
      </c>
      <c r="E205" s="4"/>
      <c r="F205" s="4" t="s">
        <v>206</v>
      </c>
      <c r="G205" s="4" t="s">
        <v>207</v>
      </c>
      <c r="H205" s="4" t="s">
        <v>210</v>
      </c>
    </row>
    <row r="206" spans="1:8" x14ac:dyDescent="0.3">
      <c r="A206" s="3" t="s">
        <v>188</v>
      </c>
      <c r="B206" s="3">
        <v>5</v>
      </c>
      <c r="C206" s="4" t="s">
        <v>211</v>
      </c>
      <c r="D206" s="4" t="s">
        <v>212</v>
      </c>
      <c r="E206" s="4"/>
      <c r="F206" s="4" t="s">
        <v>206</v>
      </c>
      <c r="G206" s="4" t="s">
        <v>207</v>
      </c>
      <c r="H206" s="4" t="s">
        <v>213</v>
      </c>
    </row>
    <row r="207" spans="1:8" x14ac:dyDescent="0.3">
      <c r="A207" s="3" t="s">
        <v>188</v>
      </c>
      <c r="B207" s="3">
        <v>6</v>
      </c>
      <c r="C207" s="4" t="s">
        <v>214</v>
      </c>
      <c r="D207" s="4" t="s">
        <v>215</v>
      </c>
      <c r="E207" s="4">
        <v>1</v>
      </c>
      <c r="F207" s="4" t="s">
        <v>197</v>
      </c>
      <c r="G207" s="4" t="s">
        <v>216</v>
      </c>
      <c r="H207" s="4" t="s">
        <v>217</v>
      </c>
    </row>
    <row r="208" spans="1:8" x14ac:dyDescent="0.3">
      <c r="A208" s="3" t="s">
        <v>188</v>
      </c>
      <c r="B208" s="3">
        <v>7</v>
      </c>
      <c r="C208" s="4" t="s">
        <v>218</v>
      </c>
      <c r="D208" s="4" t="s">
        <v>219</v>
      </c>
      <c r="E208" s="4">
        <v>0</v>
      </c>
      <c r="F208" s="4" t="s">
        <v>206</v>
      </c>
      <c r="G208" s="4" t="s">
        <v>220</v>
      </c>
      <c r="H208" s="4" t="s">
        <v>221</v>
      </c>
    </row>
    <row r="209" spans="1:8" x14ac:dyDescent="0.3">
      <c r="A209" s="3" t="s">
        <v>188</v>
      </c>
      <c r="B209" s="3">
        <v>8</v>
      </c>
      <c r="C209" s="4" t="s">
        <v>222</v>
      </c>
      <c r="D209" s="4" t="s">
        <v>219</v>
      </c>
      <c r="E209" s="4">
        <v>0</v>
      </c>
      <c r="F209" s="4" t="s">
        <v>206</v>
      </c>
      <c r="G209" s="4" t="s">
        <v>223</v>
      </c>
      <c r="H209" s="4" t="s">
        <v>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showGridLines="0" workbookViewId="0">
      <selection activeCell="G4" sqref="G4"/>
    </sheetView>
  </sheetViews>
  <sheetFormatPr defaultColWidth="8.5546875" defaultRowHeight="14.4" x14ac:dyDescent="0.3"/>
  <cols>
    <col min="1" max="1" width="12" customWidth="1"/>
    <col min="2" max="2" width="13" customWidth="1"/>
    <col min="3" max="3" width="42" customWidth="1"/>
    <col min="4" max="5" width="22" customWidth="1"/>
    <col min="6" max="6" width="3" customWidth="1"/>
    <col min="7" max="7" width="18" customWidth="1"/>
    <col min="8" max="8" width="22" customWidth="1"/>
    <col min="9" max="9" width="24" customWidth="1"/>
    <col min="10" max="10" width="3" customWidth="1"/>
  </cols>
  <sheetData>
    <row r="1" spans="1:9" ht="25.2" x14ac:dyDescent="0.3">
      <c r="A1" s="2" t="s">
        <v>64</v>
      </c>
      <c r="B1" s="2" t="s">
        <v>87</v>
      </c>
      <c r="C1" s="2" t="s">
        <v>57</v>
      </c>
      <c r="D1" s="2" t="s">
        <v>310</v>
      </c>
      <c r="E1" s="2" t="s">
        <v>311</v>
      </c>
      <c r="G1" s="1" t="s">
        <v>87</v>
      </c>
      <c r="H1" s="2" t="s">
        <v>312</v>
      </c>
      <c r="I1" s="2" t="s">
        <v>313</v>
      </c>
    </row>
    <row r="2" spans="1:9" x14ac:dyDescent="0.3">
      <c r="A2" s="3" t="s">
        <v>314</v>
      </c>
      <c r="B2" s="3" t="s">
        <v>175</v>
      </c>
      <c r="C2" s="4" t="s">
        <v>315</v>
      </c>
      <c r="D2" s="13">
        <v>7500</v>
      </c>
      <c r="E2" s="13">
        <v>6506</v>
      </c>
      <c r="G2" s="1" t="s">
        <v>175</v>
      </c>
      <c r="H2" s="3">
        <v>5975</v>
      </c>
      <c r="I2" s="13">
        <v>5384</v>
      </c>
    </row>
    <row r="3" spans="1:9" x14ac:dyDescent="0.3">
      <c r="A3" s="3" t="s">
        <v>316</v>
      </c>
      <c r="B3" s="3" t="s">
        <v>175</v>
      </c>
      <c r="C3" s="4" t="s">
        <v>317</v>
      </c>
      <c r="D3" s="13">
        <v>5500</v>
      </c>
      <c r="E3" s="13">
        <v>4566</v>
      </c>
      <c r="G3" s="1" t="s">
        <v>318</v>
      </c>
      <c r="H3" s="3">
        <v>3466</v>
      </c>
      <c r="I3" s="13">
        <v>2914</v>
      </c>
    </row>
    <row r="4" spans="1:9" ht="37.799999999999997" x14ac:dyDescent="0.3">
      <c r="A4" s="3" t="s">
        <v>319</v>
      </c>
      <c r="B4" s="3" t="s">
        <v>175</v>
      </c>
      <c r="C4" s="4" t="s">
        <v>320</v>
      </c>
      <c r="D4" s="13">
        <v>5500</v>
      </c>
      <c r="E4" s="13">
        <v>5200</v>
      </c>
      <c r="G4" s="1" t="s">
        <v>321</v>
      </c>
      <c r="H4" s="4" t="s">
        <v>322</v>
      </c>
      <c r="I4" s="4" t="s">
        <v>323</v>
      </c>
    </row>
    <row r="5" spans="1:9" x14ac:dyDescent="0.3">
      <c r="A5" s="3" t="s">
        <v>324</v>
      </c>
      <c r="B5" s="3" t="s">
        <v>175</v>
      </c>
      <c r="C5" s="4" t="s">
        <v>325</v>
      </c>
      <c r="D5" s="13">
        <v>6500</v>
      </c>
      <c r="E5" s="13">
        <v>5559</v>
      </c>
      <c r="G5" s="1"/>
      <c r="H5" s="1"/>
      <c r="I5" s="1"/>
    </row>
    <row r="6" spans="1:9" x14ac:dyDescent="0.3">
      <c r="A6" s="3" t="s">
        <v>326</v>
      </c>
      <c r="B6" s="3" t="s">
        <v>175</v>
      </c>
      <c r="C6" s="4" t="s">
        <v>327</v>
      </c>
      <c r="D6" s="13">
        <v>5850</v>
      </c>
      <c r="E6" s="13">
        <v>4905</v>
      </c>
      <c r="G6" s="1"/>
      <c r="H6" s="1"/>
      <c r="I6" s="1"/>
    </row>
    <row r="7" spans="1:9" x14ac:dyDescent="0.3">
      <c r="A7" s="3" t="s">
        <v>328</v>
      </c>
      <c r="B7" s="3" t="s">
        <v>95</v>
      </c>
      <c r="C7" s="4" t="s">
        <v>329</v>
      </c>
      <c r="D7" s="13">
        <v>4500</v>
      </c>
      <c r="E7" s="13">
        <v>4169</v>
      </c>
      <c r="G7" s="1"/>
      <c r="H7" s="1"/>
      <c r="I7" s="1"/>
    </row>
    <row r="8" spans="1:9" ht="25.2" x14ac:dyDescent="0.3">
      <c r="A8" s="3" t="s">
        <v>330</v>
      </c>
      <c r="B8" s="3" t="s">
        <v>95</v>
      </c>
      <c r="C8" s="4" t="s">
        <v>331</v>
      </c>
      <c r="D8" s="13">
        <v>2500</v>
      </c>
      <c r="E8" s="13">
        <v>1745</v>
      </c>
      <c r="G8" s="1"/>
      <c r="H8" s="1"/>
      <c r="I8" s="1"/>
    </row>
    <row r="9" spans="1:9" x14ac:dyDescent="0.3">
      <c r="A9" s="3" t="s">
        <v>332</v>
      </c>
      <c r="B9" s="3" t="s">
        <v>95</v>
      </c>
      <c r="C9" s="4" t="s">
        <v>333</v>
      </c>
      <c r="D9" s="13">
        <v>2100</v>
      </c>
      <c r="E9" s="13">
        <v>1424</v>
      </c>
      <c r="G9" s="1"/>
      <c r="H9" s="1"/>
      <c r="I9" s="1"/>
    </row>
    <row r="10" spans="1:9" ht="25.2" x14ac:dyDescent="0.3">
      <c r="A10" s="3" t="s">
        <v>334</v>
      </c>
      <c r="B10" s="3" t="s">
        <v>95</v>
      </c>
      <c r="C10" s="4" t="s">
        <v>335</v>
      </c>
      <c r="D10" s="13">
        <v>3000</v>
      </c>
      <c r="E10" s="13">
        <v>2203</v>
      </c>
      <c r="G10" s="1"/>
      <c r="H10" s="1"/>
      <c r="I10" s="1"/>
    </row>
    <row r="11" spans="1:9" x14ac:dyDescent="0.3">
      <c r="A11" s="3" t="s">
        <v>336</v>
      </c>
      <c r="B11" s="3" t="s">
        <v>95</v>
      </c>
      <c r="C11" s="4" t="s">
        <v>337</v>
      </c>
      <c r="D11" s="13">
        <v>5800</v>
      </c>
      <c r="E11" s="13">
        <v>5609</v>
      </c>
      <c r="G11" s="1"/>
      <c r="H11" s="1"/>
      <c r="I11" s="1"/>
    </row>
    <row r="12" spans="1:9" x14ac:dyDescent="0.3">
      <c r="A12" s="3" t="s">
        <v>338</v>
      </c>
      <c r="B12" s="3" t="s">
        <v>95</v>
      </c>
      <c r="C12" s="4" t="s">
        <v>339</v>
      </c>
      <c r="D12" s="13">
        <v>5800</v>
      </c>
      <c r="E12" s="13">
        <v>5196</v>
      </c>
      <c r="G12" s="1"/>
      <c r="H12" s="1"/>
      <c r="I12" s="1"/>
    </row>
    <row r="13" spans="1:9" x14ac:dyDescent="0.3">
      <c r="A13" s="3" t="s">
        <v>340</v>
      </c>
      <c r="B13" s="3" t="s">
        <v>95</v>
      </c>
      <c r="C13" s="4" t="s">
        <v>341</v>
      </c>
      <c r="D13" s="13">
        <v>4200</v>
      </c>
      <c r="E13" s="13">
        <v>3380</v>
      </c>
      <c r="G13" s="1"/>
      <c r="H13" s="1"/>
      <c r="I13" s="1"/>
    </row>
    <row r="14" spans="1:9" x14ac:dyDescent="0.3">
      <c r="A14" s="3" t="s">
        <v>342</v>
      </c>
      <c r="B14" s="3" t="s">
        <v>95</v>
      </c>
      <c r="C14" s="4" t="s">
        <v>343</v>
      </c>
      <c r="D14" s="13">
        <v>4200</v>
      </c>
      <c r="E14" s="13">
        <v>3736</v>
      </c>
      <c r="G14" s="1"/>
      <c r="H14" s="1"/>
      <c r="I14" s="1"/>
    </row>
    <row r="15" spans="1:9" x14ac:dyDescent="0.3">
      <c r="A15" s="3" t="s">
        <v>344</v>
      </c>
      <c r="B15" s="3" t="s">
        <v>95</v>
      </c>
      <c r="C15" s="4" t="s">
        <v>345</v>
      </c>
      <c r="D15" s="13">
        <v>6500</v>
      </c>
      <c r="E15" s="13">
        <v>5695</v>
      </c>
      <c r="G15" s="1"/>
      <c r="H15" s="1"/>
      <c r="I15" s="1"/>
    </row>
    <row r="16" spans="1:9" x14ac:dyDescent="0.3">
      <c r="A16" s="3" t="s">
        <v>346</v>
      </c>
      <c r="B16" s="3" t="s">
        <v>95</v>
      </c>
      <c r="C16" s="4" t="s">
        <v>347</v>
      </c>
      <c r="D16" s="13">
        <v>4200</v>
      </c>
      <c r="E16" s="13">
        <v>2755</v>
      </c>
      <c r="G16" s="1"/>
      <c r="H16" s="1"/>
      <c r="I16" s="1"/>
    </row>
    <row r="17" spans="1:9" ht="25.2" x14ac:dyDescent="0.3">
      <c r="A17" s="3" t="s">
        <v>348</v>
      </c>
      <c r="B17" s="3" t="s">
        <v>95</v>
      </c>
      <c r="C17" s="4" t="s">
        <v>349</v>
      </c>
      <c r="D17" s="13">
        <v>5800</v>
      </c>
      <c r="E17" s="13">
        <v>4704</v>
      </c>
      <c r="G17" s="1"/>
      <c r="H17" s="1"/>
      <c r="I17" s="1"/>
    </row>
    <row r="18" spans="1:9" x14ac:dyDescent="0.3">
      <c r="A18" s="3" t="s">
        <v>350</v>
      </c>
      <c r="B18" s="3" t="s">
        <v>95</v>
      </c>
      <c r="C18" s="4" t="s">
        <v>351</v>
      </c>
      <c r="D18" s="13">
        <v>4300</v>
      </c>
      <c r="E18" s="13">
        <v>3265</v>
      </c>
      <c r="G18" s="1"/>
      <c r="H18" s="1"/>
      <c r="I18" s="1"/>
    </row>
    <row r="19" spans="1:9" x14ac:dyDescent="0.3">
      <c r="A19" s="3" t="s">
        <v>352</v>
      </c>
      <c r="B19" s="3" t="s">
        <v>95</v>
      </c>
      <c r="C19" s="4" t="s">
        <v>353</v>
      </c>
      <c r="D19" s="13">
        <v>1700</v>
      </c>
      <c r="E19" s="13">
        <v>1180</v>
      </c>
      <c r="G19" s="1"/>
      <c r="H19" s="1"/>
      <c r="I19" s="1"/>
    </row>
    <row r="20" spans="1:9" x14ac:dyDescent="0.3">
      <c r="A20" s="3" t="s">
        <v>354</v>
      </c>
      <c r="B20" s="3" t="s">
        <v>95</v>
      </c>
      <c r="C20" s="4" t="s">
        <v>355</v>
      </c>
      <c r="D20" s="13">
        <v>4200</v>
      </c>
      <c r="E20" s="13">
        <v>2755</v>
      </c>
      <c r="G20" s="1"/>
      <c r="H20" s="1"/>
      <c r="I2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showGridLines="0" workbookViewId="0">
      <selection sqref="A1:E1"/>
    </sheetView>
  </sheetViews>
  <sheetFormatPr defaultColWidth="8.5546875" defaultRowHeight="14.4" x14ac:dyDescent="0.3"/>
  <cols>
    <col min="1" max="1" width="38" customWidth="1"/>
    <col min="2" max="2" width="20" customWidth="1"/>
    <col min="3" max="3" width="28" customWidth="1"/>
    <col min="4" max="4" width="48" customWidth="1"/>
    <col min="5" max="5" width="14" customWidth="1"/>
  </cols>
  <sheetData>
    <row r="1" spans="1:5" ht="30" customHeight="1" x14ac:dyDescent="0.3">
      <c r="A1" s="65" t="s">
        <v>356</v>
      </c>
      <c r="B1" s="65"/>
      <c r="C1" s="65"/>
      <c r="D1" s="65"/>
      <c r="E1" s="65"/>
    </row>
    <row r="2" spans="1:5" x14ac:dyDescent="0.3">
      <c r="A2" s="1"/>
      <c r="B2" s="1"/>
      <c r="C2" s="1"/>
      <c r="D2" s="1"/>
      <c r="E2" s="1"/>
    </row>
    <row r="3" spans="1:5" ht="16.8" x14ac:dyDescent="0.3">
      <c r="A3" s="14" t="s">
        <v>357</v>
      </c>
      <c r="B3" s="67" t="str">
        <f>IF(Ввод!$B$5="","ГОТОВ К ЗАПОЛНЕНИЮ",IF(COUNTIF(E6:E13,"FAIL")&gt;0,"FAIL","PASS"))</f>
        <v>ГОТОВ К ЗАПОЛНЕНИЮ</v>
      </c>
      <c r="C3" s="68"/>
      <c r="D3" s="68"/>
      <c r="E3" s="68"/>
    </row>
    <row r="4" spans="1:5" x14ac:dyDescent="0.3">
      <c r="A4" s="1"/>
      <c r="B4" s="1"/>
      <c r="C4" s="1"/>
      <c r="D4" s="1"/>
      <c r="E4" s="1"/>
    </row>
    <row r="5" spans="1:5" ht="25.2" x14ac:dyDescent="0.3">
      <c r="A5" s="2" t="s">
        <v>358</v>
      </c>
      <c r="B5" s="2" t="s">
        <v>359</v>
      </c>
      <c r="C5" s="2" t="s">
        <v>360</v>
      </c>
      <c r="D5" s="2" t="s">
        <v>321</v>
      </c>
      <c r="E5" s="2" t="s">
        <v>361</v>
      </c>
    </row>
    <row r="6" spans="1:5" x14ac:dyDescent="0.3">
      <c r="A6" s="4" t="s">
        <v>362</v>
      </c>
      <c r="B6" s="4">
        <f>IF(ISNUMBER(MATCH(Ввод!$B$5,'Справочник типов'!$A$2:$A$27,0)),1,0)</f>
        <v>0</v>
      </c>
      <c r="C6" s="4" t="s">
        <v>363</v>
      </c>
      <c r="D6" s="4" t="s">
        <v>364</v>
      </c>
      <c r="E6" s="4" t="str">
        <f>IF(B6=1,"PASS","FAIL")</f>
        <v>FAIL</v>
      </c>
    </row>
    <row r="7" spans="1:5" x14ac:dyDescent="0.3">
      <c r="A7" s="4" t="s">
        <v>365</v>
      </c>
      <c r="B7" s="4">
        <f>COUNTIF(Расчёт!$U$6:$U$55,"*СТАВКУ*")</f>
        <v>0</v>
      </c>
      <c r="C7" s="4" t="s">
        <v>366</v>
      </c>
      <c r="D7" s="4" t="s">
        <v>367</v>
      </c>
      <c r="E7" s="4" t="str">
        <f>IF(B7=0,"PASS","FAIL")</f>
        <v>PASS</v>
      </c>
    </row>
    <row r="8" spans="1:5" x14ac:dyDescent="0.3">
      <c r="A8" s="4" t="s">
        <v>368</v>
      </c>
      <c r="B8" s="4">
        <f>COUNTIF(Расчёт!$U$6:$U$55,"*ЧАСЫ*")</f>
        <v>0</v>
      </c>
      <c r="C8" s="4" t="s">
        <v>369</v>
      </c>
      <c r="D8" s="4" t="s">
        <v>370</v>
      </c>
      <c r="E8" s="4" t="str">
        <f>IF(B8=0,"PASS","FAIL")</f>
        <v>PASS</v>
      </c>
    </row>
    <row r="9" spans="1:5" ht="25.2" x14ac:dyDescent="0.3">
      <c r="A9" s="4" t="s">
        <v>371</v>
      </c>
      <c r="B9" s="4">
        <f>COUNTIFS('Технические данные'!$E$12:$E$19,"Да",'Технические данные'!$I$12:$I$19,"")</f>
        <v>0</v>
      </c>
      <c r="C9" s="4" t="s">
        <v>372</v>
      </c>
      <c r="D9" s="4" t="s">
        <v>370</v>
      </c>
      <c r="E9" s="4" t="str">
        <f>IF(B9=0,"PASS","FAIL")</f>
        <v>PASS</v>
      </c>
    </row>
    <row r="10" spans="1:5" ht="25.2" x14ac:dyDescent="0.3">
      <c r="A10" s="4" t="s">
        <v>373</v>
      </c>
      <c r="B10" s="4">
        <f>IF(COUNTIF(Расчёт!$O$6:$O$105,"*месяц*")+COUNTIFS('Внешние затраты'!$G$6:$G$25,"В месяц",'Внешние затраты'!$I$6:$I$25,"&gt;0")=0,1,SUMIF('Технические данные'!$F$12:$F$19,"TERM_MONTHS",'Технические данные'!$I$12:$I$19))</f>
        <v>1</v>
      </c>
      <c r="C10" s="4" t="s">
        <v>374</v>
      </c>
      <c r="D10" s="4" t="s">
        <v>375</v>
      </c>
      <c r="E10" s="4" t="str">
        <f>IF(B10&gt;0,"PASS","FAIL")</f>
        <v>PASS</v>
      </c>
    </row>
    <row r="11" spans="1:5" ht="25.2" x14ac:dyDescent="0.3">
      <c r="A11" s="4" t="s">
        <v>376</v>
      </c>
      <c r="B11" s="15">
        <f>IF(AND(IFERROR(VLOOKUP(Ввод!$B$5,'Справочник типов'!$A$2:$J$27,10,0),"")="По марже",SUM('Внешние затраты'!$I$6:$I$25)&gt;0),SUMIF('Технические данные'!$F$12:$F$19,"TARGET_MARGIN",'Технические данные'!$I$12:$I$19),0.01)</f>
        <v>0.01</v>
      </c>
      <c r="C11" s="4" t="s">
        <v>377</v>
      </c>
      <c r="D11" s="4" t="s">
        <v>378</v>
      </c>
      <c r="E11" s="4" t="str">
        <f>IF(AND(B11&gt;0,B11&lt;0.95),"PASS","FAIL")</f>
        <v>PASS</v>
      </c>
    </row>
    <row r="12" spans="1:5" x14ac:dyDescent="0.3">
      <c r="A12" s="4" t="s">
        <v>34</v>
      </c>
      <c r="B12" s="16">
        <f>Ввод!$B$9</f>
        <v>8</v>
      </c>
      <c r="C12" s="4" t="s">
        <v>379</v>
      </c>
      <c r="D12" s="4" t="s">
        <v>380</v>
      </c>
      <c r="E12" s="4" t="str">
        <f>IF(B12&gt;0,"PASS","FAIL")</f>
        <v>PASS</v>
      </c>
    </row>
    <row r="13" spans="1:5" ht="25.2" x14ac:dyDescent="0.3">
      <c r="A13" s="4" t="s">
        <v>381</v>
      </c>
      <c r="B13" s="15">
        <f>COUNTIF(Расчёт!$F$6:$F$55,"&lt;0")</f>
        <v>0</v>
      </c>
      <c r="C13" s="4" t="s">
        <v>369</v>
      </c>
      <c r="D13" s="4" t="s">
        <v>370</v>
      </c>
      <c r="E13" s="4" t="str">
        <f>IF(B13=0,"PASS","FAIL")</f>
        <v>PASS</v>
      </c>
    </row>
  </sheetData>
  <mergeCells count="2">
    <mergeCell ref="A1:E1"/>
    <mergeCell ref="B3:E3"/>
  </mergeCells>
  <conditionalFormatting sqref="E6:E14">
    <cfRule type="containsText" dxfId="2" priority="2" operator="containsText" text="FAIL">
      <formula>NOT(ISERROR(SEARCH("FAIL",E6)))</formula>
    </cfRule>
    <cfRule type="containsText" dxfId="1" priority="3" operator="containsText" text="PASS">
      <formula>NOT(ISERROR(SEARCH("PASS",E6)))</formula>
    </cfRule>
    <cfRule type="containsText" dxfId="0" priority="4" operator="containsText" text="WARN">
      <formula>NOT(ISERROR(SEARCH("WARN",E6)))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"/>
  <sheetViews>
    <sheetView showGridLines="0" workbookViewId="0"/>
  </sheetViews>
  <sheetFormatPr defaultRowHeight="14.4" x14ac:dyDescent="0.3"/>
  <cols>
    <col min="1" max="1" width="22.77734375" customWidth="1"/>
    <col min="2" max="2" width="12.77734375" customWidth="1"/>
    <col min="3" max="3" width="80.77734375" customWidth="1"/>
    <col min="4" max="4" width="28" customWidth="1"/>
    <col min="5" max="5" width="16" customWidth="1"/>
    <col min="6" max="6" width="20" customWidth="1"/>
    <col min="7" max="7" width="46" customWidth="1"/>
    <col min="8" max="8" width="14" customWidth="1"/>
    <col min="9" max="9" width="22" customWidth="1"/>
  </cols>
  <sheetData>
    <row r="1" spans="1:9" ht="19.8" x14ac:dyDescent="0.3">
      <c r="A1" s="69" t="s">
        <v>382</v>
      </c>
      <c r="B1" s="69"/>
      <c r="C1" s="69"/>
      <c r="D1" s="69"/>
      <c r="E1" s="69"/>
      <c r="F1" s="69"/>
      <c r="G1" s="69"/>
      <c r="H1" s="69"/>
      <c r="I1" s="69"/>
    </row>
    <row r="3" spans="1:9" x14ac:dyDescent="0.3">
      <c r="A3" s="70" t="s">
        <v>383</v>
      </c>
      <c r="B3" s="70"/>
      <c r="D3" s="70" t="s">
        <v>384</v>
      </c>
      <c r="E3" s="70"/>
      <c r="F3" s="70"/>
    </row>
    <row r="4" spans="1:9" ht="28.8" x14ac:dyDescent="0.3">
      <c r="A4" s="17" t="s">
        <v>385</v>
      </c>
      <c r="B4" s="18" t="s">
        <v>386</v>
      </c>
      <c r="D4" s="17" t="s">
        <v>87</v>
      </c>
      <c r="E4" s="18" t="str">
        <f>IFERROR(VLOOKUP(Ввод!$B$5,'Справочник типов'!$A$2:$J$27,2,0),"")</f>
        <v/>
      </c>
      <c r="F4" s="18" t="s">
        <v>387</v>
      </c>
    </row>
    <row r="5" spans="1:9" ht="28.8" x14ac:dyDescent="0.3">
      <c r="A5" s="17" t="s">
        <v>388</v>
      </c>
      <c r="B5" s="24"/>
      <c r="D5" s="17" t="s">
        <v>88</v>
      </c>
      <c r="E5" s="18" t="str">
        <f>IFERROR(VLOOKUP(Ввод!$B$5,'Справочник типов'!$A$2:$J$27,3,0),"")</f>
        <v/>
      </c>
      <c r="F5" s="18" t="s">
        <v>389</v>
      </c>
    </row>
    <row r="6" spans="1:9" x14ac:dyDescent="0.3">
      <c r="A6" s="17" t="s">
        <v>390</v>
      </c>
      <c r="B6" s="25"/>
      <c r="D6" s="17" t="s">
        <v>91</v>
      </c>
      <c r="E6" s="18" t="str">
        <f>IFERROR(VLOOKUP(Ввод!$B$5,'Справочник типов'!$A$2:$J$27,8,0),"")</f>
        <v/>
      </c>
      <c r="F6" s="18" t="s">
        <v>391</v>
      </c>
    </row>
    <row r="7" spans="1:9" ht="28.8" x14ac:dyDescent="0.3">
      <c r="A7" s="17" t="s">
        <v>392</v>
      </c>
      <c r="B7" s="18"/>
      <c r="D7" s="17" t="s">
        <v>77</v>
      </c>
      <c r="E7" s="18" t="str">
        <f>IFERROR(VLOOKUP(Ввод!$B$5,'Справочник типов'!$A$2:$J$27,5,0),"")</f>
        <v/>
      </c>
      <c r="F7" s="18" t="s">
        <v>393</v>
      </c>
    </row>
    <row r="8" spans="1:9" ht="28.8" x14ac:dyDescent="0.3">
      <c r="A8" s="17" t="s">
        <v>394</v>
      </c>
      <c r="B8" s="18">
        <v>0</v>
      </c>
      <c r="D8" s="17" t="s">
        <v>395</v>
      </c>
      <c r="E8" s="18" t="str">
        <f>IFERROR(VLOOKUP(Ввод!$B$5,'Справочник типов'!$A$2:$J$27,6,0),"")</f>
        <v/>
      </c>
      <c r="F8" s="18" t="s">
        <v>396</v>
      </c>
    </row>
    <row r="9" spans="1:9" ht="43.2" x14ac:dyDescent="0.3">
      <c r="D9" s="17" t="s">
        <v>90</v>
      </c>
      <c r="E9" s="18" t="str">
        <f>IFERROR(VLOOKUP(Ввод!$B$5,'Справочник типов'!$A$2:$J$27,7,0),"")</f>
        <v/>
      </c>
      <c r="F9" s="18" t="s">
        <v>397</v>
      </c>
    </row>
    <row r="10" spans="1:9" x14ac:dyDescent="0.3">
      <c r="A10" s="70" t="s">
        <v>398</v>
      </c>
      <c r="B10" s="70"/>
      <c r="C10" s="70"/>
      <c r="D10" s="71" t="s">
        <v>92</v>
      </c>
      <c r="E10" s="72" t="str">
        <f>IFERROR(VLOOKUP(Ввод!$B$5,'Справочник типов'!$A$2:$J$27,9,0),"")</f>
        <v/>
      </c>
      <c r="F10" s="72" t="s">
        <v>399</v>
      </c>
      <c r="G10" s="70"/>
      <c r="H10" s="70"/>
      <c r="I10" s="70"/>
    </row>
    <row r="11" spans="1:9" x14ac:dyDescent="0.3">
      <c r="A11" s="19" t="s">
        <v>190</v>
      </c>
      <c r="B11" s="19" t="s">
        <v>42</v>
      </c>
      <c r="C11" s="19" t="s">
        <v>43</v>
      </c>
      <c r="D11" s="19" t="s">
        <v>44</v>
      </c>
      <c r="E11" s="19" t="s">
        <v>192</v>
      </c>
      <c r="F11" s="19" t="s">
        <v>193</v>
      </c>
      <c r="G11" s="19" t="s">
        <v>400</v>
      </c>
      <c r="H11" s="19" t="s">
        <v>401</v>
      </c>
      <c r="I11" s="19" t="s">
        <v>46</v>
      </c>
    </row>
    <row r="12" spans="1:9" x14ac:dyDescent="0.3">
      <c r="A12" s="23">
        <v>1</v>
      </c>
      <c r="B12" s="23" t="str">
        <f>IFERROR(INDEX('Параметры типов'!$C$2:$C$209,(MATCH(Ввод!$B$5,'Справочник типов'!$A$2:$A$27,0)-1)*8+$A12),"")</f>
        <v/>
      </c>
      <c r="C12" s="23" t="str">
        <f>IFERROR(INDEX('Параметры типов'!$D$2:$D$209,(MATCH(Ввод!$B$5,'Справочник типов'!$A$2:$A$27,0)-1)*8+$A12),"")</f>
        <v/>
      </c>
      <c r="D12" s="22" t="str">
        <f>IFERROR(INDEX('Параметры типов'!$E$2:$E$209,(MATCH(Ввод!$B$5,'Справочник типов'!$A$2:$A$27,0)-1)*8+$A12),"")</f>
        <v/>
      </c>
      <c r="E12" s="18" t="str">
        <f>IFERROR(INDEX('Параметры типов'!$F$2:$F$209,(MATCH(Ввод!$B$5,'Справочник типов'!$A$2:$A$27,0)-1)*8+$A12),"")</f>
        <v/>
      </c>
      <c r="F12" s="18" t="str">
        <f>IFERROR(INDEX('Параметры типов'!$G$2:$G$209,(MATCH(Ввод!$B$5,'Справочник типов'!$A$2:$A$27,0)-1)*8+$A12),"")</f>
        <v/>
      </c>
      <c r="G12" s="23" t="str">
        <f>IFERROR(INDEX('Параметры типов'!$H$2:$H$209,(MATCH(Ввод!$B$5,'Справочник типов'!$A$2:$A$27,0)-1)*8+$A12),"")</f>
        <v/>
      </c>
      <c r="H12" s="23" t="str">
        <f>IF(AND(F12&lt;&gt;"",F12&lt;&gt;"INFO"),COUNTIFS($F$12:F12,"&lt;&gt;INFO",$F$12:F12,"&lt;&gt;"),"")</f>
        <v/>
      </c>
      <c r="I12" s="23" t="str">
        <f>IFERROR(INDEX(Ввод!$E$20:$E$27,MATCH(B12,Ввод!$A$20:$A$27,0)),D12)</f>
        <v/>
      </c>
    </row>
    <row r="13" spans="1:9" x14ac:dyDescent="0.3">
      <c r="A13" s="23">
        <v>2</v>
      </c>
      <c r="B13" s="23" t="str">
        <f>IFERROR(INDEX('Параметры типов'!$C$2:$C$209,(MATCH(Ввод!$B$5,'Справочник типов'!$A$2:$A$27,0)-1)*8+$A13),"")</f>
        <v/>
      </c>
      <c r="C13" s="23" t="str">
        <f>IFERROR(INDEX('Параметры типов'!$D$2:$D$209,(MATCH(Ввод!$B$5,'Справочник типов'!$A$2:$A$27,0)-1)*8+$A13),"")</f>
        <v/>
      </c>
      <c r="D13" s="23" t="str">
        <f>IFERROR(INDEX('Параметры типов'!$E$2:$E$209,(MATCH(Ввод!$B$5,'Справочник типов'!$A$2:$A$27,0)-1)*8+$A13),"")</f>
        <v/>
      </c>
      <c r="E13" s="23" t="str">
        <f>IFERROR(INDEX('Параметры типов'!$F$2:$F$209,(MATCH(Ввод!$B$5,'Справочник типов'!$A$2:$A$27,0)-1)*8+$A13),"")</f>
        <v/>
      </c>
      <c r="F13" s="23" t="str">
        <f>IFERROR(INDEX('Параметры типов'!$G$2:$G$209,(MATCH(Ввод!$B$5,'Справочник типов'!$A$2:$A$27,0)-1)*8+$A13),"")</f>
        <v/>
      </c>
      <c r="G13" s="23" t="str">
        <f>IFERROR(INDEX('Параметры типов'!$H$2:$H$209,(MATCH(Ввод!$B$5,'Справочник типов'!$A$2:$A$27,0)-1)*8+$A13),"")</f>
        <v/>
      </c>
      <c r="H13" s="23" t="str">
        <f>IF(AND(F13&lt;&gt;"",F13&lt;&gt;"INFO"),COUNTIFS($F$12:F13,"&lt;&gt;INFO",$F$12:F13,"&lt;&gt;"),"")</f>
        <v/>
      </c>
      <c r="I13" s="23" t="str">
        <f>IFERROR(INDEX(Ввод!$E$20:$E$27,MATCH(B13,Ввод!$A$20:$A$27,0)),D13)</f>
        <v/>
      </c>
    </row>
    <row r="14" spans="1:9" x14ac:dyDescent="0.3">
      <c r="A14" s="23">
        <v>3</v>
      </c>
      <c r="B14" s="23" t="str">
        <f>IFERROR(INDEX('Параметры типов'!$C$2:$C$209,(MATCH(Ввод!$B$5,'Справочник типов'!$A$2:$A$27,0)-1)*8+$A14),"")</f>
        <v/>
      </c>
      <c r="C14" s="23" t="str">
        <f>IFERROR(INDEX('Параметры типов'!$D$2:$D$209,(MATCH(Ввод!$B$5,'Справочник типов'!$A$2:$A$27,0)-1)*8+$A14),"")</f>
        <v/>
      </c>
      <c r="D14" s="23" t="str">
        <f>IFERROR(INDEX('Параметры типов'!$E$2:$E$209,(MATCH(Ввод!$B$5,'Справочник типов'!$A$2:$A$27,0)-1)*8+$A14),"")</f>
        <v/>
      </c>
      <c r="E14" s="23" t="str">
        <f>IFERROR(INDEX('Параметры типов'!$F$2:$F$209,(MATCH(Ввод!$B$5,'Справочник типов'!$A$2:$A$27,0)-1)*8+$A14),"")</f>
        <v/>
      </c>
      <c r="F14" s="23" t="str">
        <f>IFERROR(INDEX('Параметры типов'!$G$2:$G$209,(MATCH(Ввод!$B$5,'Справочник типов'!$A$2:$A$27,0)-1)*8+$A14),"")</f>
        <v/>
      </c>
      <c r="G14" s="23" t="str">
        <f>IFERROR(INDEX('Параметры типов'!$H$2:$H$209,(MATCH(Ввод!$B$5,'Справочник типов'!$A$2:$A$27,0)-1)*8+$A14),"")</f>
        <v/>
      </c>
      <c r="H14" s="23" t="str">
        <f>IF(AND(F14&lt;&gt;"",F14&lt;&gt;"INFO"),COUNTIFS($F$12:F14,"&lt;&gt;INFO",$F$12:F14,"&lt;&gt;"),"")</f>
        <v/>
      </c>
      <c r="I14" s="23" t="str">
        <f>IFERROR(INDEX(Ввод!$E$20:$E$27,MATCH(B14,Ввод!$A$20:$A$27,0)),D14)</f>
        <v/>
      </c>
    </row>
    <row r="15" spans="1:9" x14ac:dyDescent="0.3">
      <c r="A15" s="23">
        <v>4</v>
      </c>
      <c r="B15" s="23" t="str">
        <f>IFERROR(INDEX('Параметры типов'!$C$2:$C$209,(MATCH(Ввод!$B$5,'Справочник типов'!$A$2:$A$27,0)-1)*8+$A15),"")</f>
        <v/>
      </c>
      <c r="C15" s="23" t="str">
        <f>IFERROR(INDEX('Параметры типов'!$D$2:$D$209,(MATCH(Ввод!$B$5,'Справочник типов'!$A$2:$A$27,0)-1)*8+$A15),"")</f>
        <v/>
      </c>
      <c r="D15" s="23" t="str">
        <f>IFERROR(INDEX('Параметры типов'!$E$2:$E$209,(MATCH(Ввод!$B$5,'Справочник типов'!$A$2:$A$27,0)-1)*8+$A15),"")</f>
        <v/>
      </c>
      <c r="E15" s="23" t="str">
        <f>IFERROR(INDEX('Параметры типов'!$F$2:$F$209,(MATCH(Ввод!$B$5,'Справочник типов'!$A$2:$A$27,0)-1)*8+$A15),"")</f>
        <v/>
      </c>
      <c r="F15" s="23" t="str">
        <f>IFERROR(INDEX('Параметры типов'!$G$2:$G$209,(MATCH(Ввод!$B$5,'Справочник типов'!$A$2:$A$27,0)-1)*8+$A15),"")</f>
        <v/>
      </c>
      <c r="G15" s="23" t="str">
        <f>IFERROR(INDEX('Параметры типов'!$H$2:$H$209,(MATCH(Ввод!$B$5,'Справочник типов'!$A$2:$A$27,0)-1)*8+$A15),"")</f>
        <v/>
      </c>
      <c r="H15" s="23" t="str">
        <f>IF(AND(F15&lt;&gt;"",F15&lt;&gt;"INFO"),COUNTIFS($F$12:F15,"&lt;&gt;INFO",$F$12:F15,"&lt;&gt;"),"")</f>
        <v/>
      </c>
      <c r="I15" s="23" t="str">
        <f>IFERROR(INDEX(Ввод!$E$20:$E$27,MATCH(B15,Ввод!$A$20:$A$27,0)),D15)</f>
        <v/>
      </c>
    </row>
    <row r="16" spans="1:9" x14ac:dyDescent="0.3">
      <c r="A16" s="23">
        <v>5</v>
      </c>
      <c r="B16" s="23" t="str">
        <f>IFERROR(INDEX('Параметры типов'!$C$2:$C$209,(MATCH(Ввод!$B$5,'Справочник типов'!$A$2:$A$27,0)-1)*8+$A16),"")</f>
        <v/>
      </c>
      <c r="C16" s="23" t="str">
        <f>IFERROR(INDEX('Параметры типов'!$D$2:$D$209,(MATCH(Ввод!$B$5,'Справочник типов'!$A$2:$A$27,0)-1)*8+$A16),"")</f>
        <v/>
      </c>
      <c r="D16" s="23" t="str">
        <f>IFERROR(INDEX('Параметры типов'!$E$2:$E$209,(MATCH(Ввод!$B$5,'Справочник типов'!$A$2:$A$27,0)-1)*8+$A16),"")</f>
        <v/>
      </c>
      <c r="E16" s="23" t="str">
        <f>IFERROR(INDEX('Параметры типов'!$F$2:$F$209,(MATCH(Ввод!$B$5,'Справочник типов'!$A$2:$A$27,0)-1)*8+$A16),"")</f>
        <v/>
      </c>
      <c r="F16" s="23" t="str">
        <f>IFERROR(INDEX('Параметры типов'!$G$2:$G$209,(MATCH(Ввод!$B$5,'Справочник типов'!$A$2:$A$27,0)-1)*8+$A16),"")</f>
        <v/>
      </c>
      <c r="G16" s="23" t="str">
        <f>IFERROR(INDEX('Параметры типов'!$H$2:$H$209,(MATCH(Ввод!$B$5,'Справочник типов'!$A$2:$A$27,0)-1)*8+$A16),"")</f>
        <v/>
      </c>
      <c r="H16" s="23" t="str">
        <f>IF(AND(F16&lt;&gt;"",F16&lt;&gt;"INFO"),COUNTIFS($F$12:F16,"&lt;&gt;INFO",$F$12:F16,"&lt;&gt;"),"")</f>
        <v/>
      </c>
      <c r="I16" s="23" t="str">
        <f>IFERROR(INDEX(Ввод!$E$20:$E$27,MATCH(B16,Ввод!$A$20:$A$27,0)),D16)</f>
        <v/>
      </c>
    </row>
    <row r="17" spans="1:9" x14ac:dyDescent="0.3">
      <c r="A17" s="23">
        <v>6</v>
      </c>
      <c r="B17" s="23" t="str">
        <f>IFERROR(INDEX('Параметры типов'!$C$2:$C$209,(MATCH(Ввод!$B$5,'Справочник типов'!$A$2:$A$27,0)-1)*8+$A17),"")</f>
        <v/>
      </c>
      <c r="C17" s="23" t="str">
        <f>IFERROR(INDEX('Параметры типов'!$D$2:$D$209,(MATCH(Ввод!$B$5,'Справочник типов'!$A$2:$A$27,0)-1)*8+$A17),"")</f>
        <v/>
      </c>
      <c r="D17" s="23" t="str">
        <f>IFERROR(INDEX('Параметры типов'!$E$2:$E$209,(MATCH(Ввод!$B$5,'Справочник типов'!$A$2:$A$27,0)-1)*8+$A17),"")</f>
        <v/>
      </c>
      <c r="E17" s="23" t="str">
        <f>IFERROR(INDEX('Параметры типов'!$F$2:$F$209,(MATCH(Ввод!$B$5,'Справочник типов'!$A$2:$A$27,0)-1)*8+$A17),"")</f>
        <v/>
      </c>
      <c r="F17" s="23" t="str">
        <f>IFERROR(INDEX('Параметры типов'!$G$2:$G$209,(MATCH(Ввод!$B$5,'Справочник типов'!$A$2:$A$27,0)-1)*8+$A17),"")</f>
        <v/>
      </c>
      <c r="G17" s="23" t="str">
        <f>IFERROR(INDEX('Параметры типов'!$H$2:$H$209,(MATCH(Ввод!$B$5,'Справочник типов'!$A$2:$A$27,0)-1)*8+$A17),"")</f>
        <v/>
      </c>
      <c r="H17" s="23" t="str">
        <f>IF(AND(F17&lt;&gt;"",F17&lt;&gt;"INFO"),COUNTIFS($F$12:F17,"&lt;&gt;INFO",$F$12:F17,"&lt;&gt;"),"")</f>
        <v/>
      </c>
      <c r="I17" s="23" t="str">
        <f>IFERROR(INDEX(Ввод!$E$20:$E$27,MATCH(B17,Ввод!$A$20:$A$27,0)),D17)</f>
        <v/>
      </c>
    </row>
    <row r="18" spans="1:9" x14ac:dyDescent="0.3">
      <c r="A18" s="23">
        <v>7</v>
      </c>
      <c r="B18" s="23" t="str">
        <f>IFERROR(INDEX('Параметры типов'!$C$2:$C$209,(MATCH(Ввод!$B$5,'Справочник типов'!$A$2:$A$27,0)-1)*8+$A18),"")</f>
        <v/>
      </c>
      <c r="C18" s="23" t="str">
        <f>IFERROR(INDEX('Параметры типов'!$D$2:$D$209,(MATCH(Ввод!$B$5,'Справочник типов'!$A$2:$A$27,0)-1)*8+$A18),"")</f>
        <v/>
      </c>
      <c r="D18" s="23" t="str">
        <f>IFERROR(INDEX('Параметры типов'!$E$2:$E$209,(MATCH(Ввод!$B$5,'Справочник типов'!$A$2:$A$27,0)-1)*8+$A18),"")</f>
        <v/>
      </c>
      <c r="E18" s="23" t="str">
        <f>IFERROR(INDEX('Параметры типов'!$F$2:$F$209,(MATCH(Ввод!$B$5,'Справочник типов'!$A$2:$A$27,0)-1)*8+$A18),"")</f>
        <v/>
      </c>
      <c r="F18" s="23" t="str">
        <f>IFERROR(INDEX('Параметры типов'!$G$2:$G$209,(MATCH(Ввод!$B$5,'Справочник типов'!$A$2:$A$27,0)-1)*8+$A18),"")</f>
        <v/>
      </c>
      <c r="G18" s="23" t="str">
        <f>IFERROR(INDEX('Параметры типов'!$H$2:$H$209,(MATCH(Ввод!$B$5,'Справочник типов'!$A$2:$A$27,0)-1)*8+$A18),"")</f>
        <v/>
      </c>
      <c r="H18" s="23" t="str">
        <f>IF(AND(F18&lt;&gt;"",F18&lt;&gt;"INFO"),COUNTIFS($F$12:F18,"&lt;&gt;INFO",$F$12:F18,"&lt;&gt;"),"")</f>
        <v/>
      </c>
      <c r="I18" s="23" t="str">
        <f>IFERROR(INDEX(Ввод!$E$20:$E$27,MATCH(B18,Ввод!$A$20:$A$27,0)),D18)</f>
        <v/>
      </c>
    </row>
    <row r="19" spans="1:9" x14ac:dyDescent="0.3">
      <c r="A19" s="23">
        <v>8</v>
      </c>
      <c r="B19" s="23" t="str">
        <f>IFERROR(INDEX('Параметры типов'!$C$2:$C$209,(MATCH(Ввод!$B$5,'Справочник типов'!$A$2:$A$27,0)-1)*8+$A19),"")</f>
        <v/>
      </c>
      <c r="C19" s="23" t="str">
        <f>IFERROR(INDEX('Параметры типов'!$D$2:$D$209,(MATCH(Ввод!$B$5,'Справочник типов'!$A$2:$A$27,0)-1)*8+$A19),"")</f>
        <v/>
      </c>
      <c r="D19" s="23" t="str">
        <f>IFERROR(INDEX('Параметры типов'!$E$2:$E$209,(MATCH(Ввод!$B$5,'Справочник типов'!$A$2:$A$27,0)-1)*8+$A19),"")</f>
        <v/>
      </c>
      <c r="E19" s="23" t="str">
        <f>IFERROR(INDEX('Параметры типов'!$F$2:$F$209,(MATCH(Ввод!$B$5,'Справочник типов'!$A$2:$A$27,0)-1)*8+$A19),"")</f>
        <v/>
      </c>
      <c r="F19" s="23" t="str">
        <f>IFERROR(INDEX('Параметры типов'!$G$2:$G$209,(MATCH(Ввод!$B$5,'Справочник типов'!$A$2:$A$27,0)-1)*8+$A19),"")</f>
        <v/>
      </c>
      <c r="G19" s="23" t="str">
        <f>IFERROR(INDEX('Параметры типов'!$H$2:$H$209,(MATCH(Ввод!$B$5,'Справочник типов'!$A$2:$A$27,0)-1)*8+$A19),"")</f>
        <v/>
      </c>
      <c r="H19" s="23" t="str">
        <f>IF(AND(F19&lt;&gt;"",F19&lt;&gt;"INFO"),COUNTIFS($F$12:F19,"&lt;&gt;INFO",$F$12:F19,"&lt;&gt;"),"")</f>
        <v/>
      </c>
      <c r="I19" s="23" t="str">
        <f>IFERROR(INDEX(Ввод!$E$20:$E$27,MATCH(B19,Ввод!$A$20:$A$27,0)),D19)</f>
        <v/>
      </c>
    </row>
    <row r="21" spans="1:9" ht="18" customHeight="1" x14ac:dyDescent="0.3">
      <c r="A21" s="73"/>
      <c r="B21" s="73"/>
      <c r="C21" s="73"/>
    </row>
    <row r="22" spans="1:9" ht="18" customHeight="1" x14ac:dyDescent="0.3"/>
    <row r="23" spans="1:9" ht="18" customHeight="1" x14ac:dyDescent="0.3"/>
    <row r="24" spans="1:9" ht="18" customHeight="1" x14ac:dyDescent="0.3"/>
    <row r="25" spans="1:9" ht="18" customHeight="1" x14ac:dyDescent="0.3"/>
    <row r="26" spans="1:9" ht="18" customHeight="1" x14ac:dyDescent="0.3"/>
    <row r="27" spans="1:9" ht="18" customHeight="1" x14ac:dyDescent="0.3"/>
    <row r="28" spans="1:9" ht="18" customHeight="1" x14ac:dyDescent="0.3"/>
    <row r="29" spans="1:9" ht="18" customHeight="1" x14ac:dyDescent="0.3"/>
    <row r="30" spans="1:9" ht="18" customHeight="1" x14ac:dyDescent="0.3"/>
  </sheetData>
  <mergeCells count="5">
    <mergeCell ref="A1:I1"/>
    <mergeCell ref="A3:B3"/>
    <mergeCell ref="D3:F3"/>
    <mergeCell ref="A10:I10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Итого по проекту</vt:lpstr>
      <vt:lpstr>Ввод</vt:lpstr>
      <vt:lpstr>Расчёт</vt:lpstr>
      <vt:lpstr>Внешние затраты</vt:lpstr>
      <vt:lpstr>Справочник типов</vt:lpstr>
      <vt:lpstr>Параметры типов</vt:lpstr>
      <vt:lpstr>Справочник ролей</vt:lpstr>
      <vt:lpstr>Проверки</vt:lpstr>
      <vt:lpstr>Технические данные</vt:lpstr>
      <vt:lpstr>'Справочник типов'!Print_Area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Ilkix x</cp:lastModifiedBy>
  <dcterms:modified xsi:type="dcterms:W3CDTF">2026-08-24T20:27:48Z</dcterms:modified>
</cp:coreProperties>
</file>